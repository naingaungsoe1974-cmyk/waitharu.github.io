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0730" windowHeight="11760" activeTab="7"/>
  </bookViews>
  <sheets>
    <sheet name="Credit (3)" sheetId="13" r:id="rId1"/>
    <sheet name="Credit " sheetId="15" r:id="rId2"/>
    <sheet name="Statment" sheetId="12" r:id="rId3"/>
    <sheet name="Profit" sheetId="18" r:id="rId4"/>
    <sheet name="Statment (2)" sheetId="16" r:id="rId5"/>
    <sheet name="Statment (3)" sheetId="17" r:id="rId6"/>
    <sheet name="Other Expen " sheetId="14" r:id="rId7"/>
    <sheet name="Yogut Profit" sheetId="5" r:id="rId8"/>
    <sheet name="daily expen" sheetId="6" r:id="rId9"/>
    <sheet name="Yogurt" sheetId="1" r:id="rId10"/>
    <sheet name="Date" sheetId="11" r:id="rId11"/>
    <sheet name="Canddle" sheetId="9" r:id="rId12"/>
    <sheet name="Price" sheetId="10" r:id="rId13"/>
  </sheets>
  <externalReferences>
    <externalReference r:id="rId14"/>
    <externalReference r:id="rId15"/>
  </externalReferences>
  <calcPr calcId="144525"/>
</workbook>
</file>

<file path=xl/calcChain.xml><?xml version="1.0" encoding="utf-8"?>
<calcChain xmlns="http://schemas.openxmlformats.org/spreadsheetml/2006/main">
  <c r="T77" i="5" l="1"/>
  <c r="E19" i="14"/>
  <c r="T76" i="5"/>
  <c r="T75" i="5"/>
  <c r="T72" i="5" l="1"/>
  <c r="V106" i="5"/>
  <c r="L62" i="5"/>
  <c r="M62" i="5" s="1"/>
  <c r="Q104" i="5"/>
  <c r="T73" i="5"/>
  <c r="T71" i="5" l="1"/>
  <c r="E15" i="14" l="1"/>
  <c r="M59" i="5"/>
  <c r="E59" i="5"/>
  <c r="R104" i="5"/>
  <c r="U62" i="5"/>
  <c r="U70" i="5"/>
  <c r="U69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 l="1"/>
  <c r="L49" i="5"/>
  <c r="M49" i="5" s="1"/>
  <c r="T52" i="5"/>
  <c r="T51" i="5"/>
  <c r="T50" i="5"/>
  <c r="T49" i="5"/>
  <c r="T104" i="5" l="1"/>
  <c r="T48" i="5"/>
  <c r="T47" i="5"/>
  <c r="T46" i="5"/>
  <c r="T45" i="5"/>
  <c r="T44" i="5"/>
  <c r="T43" i="5"/>
  <c r="E14" i="14" l="1"/>
  <c r="E13" i="14"/>
  <c r="E11" i="14"/>
  <c r="T42" i="5"/>
  <c r="T41" i="5" l="1"/>
  <c r="L31" i="5"/>
  <c r="M31" i="5" s="1"/>
  <c r="T39" i="5" l="1"/>
  <c r="T29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3" i="5"/>
  <c r="X74" i="5"/>
  <c r="X75" i="5"/>
  <c r="X76" i="5"/>
  <c r="X77" i="5"/>
  <c r="X78" i="5"/>
  <c r="X79" i="5"/>
  <c r="X80" i="5"/>
  <c r="X81" i="5"/>
  <c r="X82" i="5"/>
  <c r="X83" i="5"/>
  <c r="X84" i="5"/>
  <c r="X48" i="5"/>
  <c r="X49" i="5"/>
  <c r="X50" i="5"/>
  <c r="X51" i="5"/>
  <c r="X52" i="5"/>
  <c r="X53" i="5"/>
  <c r="X54" i="5"/>
  <c r="X55" i="5"/>
  <c r="X56" i="5"/>
  <c r="X57" i="5"/>
  <c r="X58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T38" i="5"/>
  <c r="T37" i="5"/>
  <c r="T36" i="5"/>
  <c r="T35" i="5"/>
  <c r="T34" i="5"/>
  <c r="T33" i="5" l="1"/>
  <c r="T32" i="5"/>
  <c r="X31" i="5"/>
  <c r="T31" i="5"/>
  <c r="T30" i="5"/>
  <c r="T28" i="5"/>
  <c r="T27" i="5"/>
  <c r="E9" i="14" l="1"/>
  <c r="E8" i="14"/>
  <c r="L23" i="5"/>
  <c r="M23" i="5" s="1"/>
  <c r="T25" i="5"/>
  <c r="T24" i="5"/>
  <c r="T23" i="5"/>
  <c r="E6" i="14" l="1"/>
  <c r="E5" i="14"/>
  <c r="D15" i="12"/>
  <c r="C4" i="15"/>
  <c r="T22" i="5"/>
  <c r="T21" i="5"/>
  <c r="T20" i="5"/>
  <c r="T19" i="5"/>
  <c r="T18" i="5"/>
  <c r="T17" i="5"/>
  <c r="T16" i="5"/>
  <c r="L10" i="5" l="1"/>
  <c r="M10" i="5" s="1"/>
  <c r="G105" i="5"/>
  <c r="F105" i="5"/>
  <c r="C104" i="5"/>
  <c r="C105" i="5" s="1"/>
  <c r="B104" i="5"/>
  <c r="B105" i="5" s="1"/>
  <c r="T14" i="5" l="1"/>
  <c r="T13" i="5"/>
  <c r="T12" i="5"/>
  <c r="T11" i="5"/>
  <c r="T10" i="5"/>
  <c r="T9" i="5"/>
  <c r="T8" i="5"/>
  <c r="T7" i="5"/>
  <c r="T6" i="5"/>
  <c r="L6" i="5" l="1"/>
  <c r="M6" i="5" s="1"/>
  <c r="E3" i="14"/>
  <c r="F104" i="5" l="1"/>
  <c r="R106" i="5"/>
  <c r="M104" i="5"/>
  <c r="L104" i="5"/>
  <c r="K104" i="5"/>
  <c r="J104" i="5"/>
  <c r="G104" i="5"/>
  <c r="E104" i="5"/>
  <c r="E28" i="14" l="1"/>
  <c r="F18" i="12" l="1"/>
  <c r="U104" i="5" l="1"/>
  <c r="D17" i="12" s="1"/>
  <c r="Q106" i="5"/>
  <c r="V104" i="5" l="1"/>
  <c r="D18" i="12" s="1"/>
  <c r="F14" i="12" s="1"/>
  <c r="E9" i="13" l="1"/>
  <c r="X16" i="5" l="1"/>
  <c r="X104" i="5" s="1"/>
  <c r="X7" i="5" l="1"/>
  <c r="X11" i="5"/>
  <c r="X10" i="5"/>
  <c r="E19" i="18" l="1"/>
  <c r="E18" i="18"/>
  <c r="C9" i="18"/>
  <c r="E9" i="18" s="1"/>
  <c r="E12" i="18"/>
  <c r="E11" i="18"/>
  <c r="E10" i="18"/>
  <c r="E8" i="18"/>
  <c r="E14" i="18" l="1"/>
  <c r="E15" i="18" s="1"/>
  <c r="E21" i="18"/>
  <c r="E13" i="13" l="1"/>
  <c r="D22" i="12"/>
  <c r="T106" i="5" l="1"/>
  <c r="T107" i="5" s="1"/>
  <c r="S106" i="5" l="1"/>
  <c r="S107" i="5" s="1"/>
  <c r="C63" i="6"/>
  <c r="E14" i="13" l="1"/>
  <c r="X105" i="5"/>
  <c r="W104" i="5" l="1"/>
  <c r="X106" i="5" l="1"/>
  <c r="D7" i="12"/>
  <c r="D5" i="12" s="1"/>
  <c r="F4" i="16" l="1"/>
  <c r="C4" i="16"/>
  <c r="E6" i="13"/>
  <c r="C20" i="15" l="1"/>
  <c r="F5" i="16" l="1"/>
  <c r="E8" i="13"/>
  <c r="E11" i="13" l="1"/>
  <c r="Q107" i="5"/>
  <c r="R107" i="5"/>
  <c r="Y109" i="5" l="1"/>
  <c r="V109" i="5"/>
  <c r="D21" i="12"/>
  <c r="D20" i="12" s="1"/>
  <c r="E12" i="13"/>
  <c r="E15" i="13" s="1"/>
  <c r="F26" i="12" l="1"/>
  <c r="F27" i="12" s="1"/>
  <c r="D26" i="12"/>
  <c r="D27" i="12" s="1"/>
  <c r="C5" i="16"/>
  <c r="F29" i="12" l="1"/>
  <c r="C7" i="16" s="1"/>
  <c r="C6" i="16"/>
  <c r="F6" i="16"/>
  <c r="E18" i="13"/>
  <c r="C16" i="16" l="1"/>
  <c r="F16" i="16"/>
  <c r="C12" i="9"/>
  <c r="F18" i="16" l="1"/>
  <c r="E8" i="9"/>
  <c r="E19" i="1" l="1"/>
  <c r="E7" i="9" l="1"/>
  <c r="E6" i="9"/>
  <c r="E26" i="9"/>
  <c r="E5" i="9"/>
  <c r="E12" i="9" l="1"/>
  <c r="E26" i="1" l="1"/>
  <c r="E5" i="1" l="1"/>
  <c r="E12" i="1" s="1"/>
</calcChain>
</file>

<file path=xl/sharedStrings.xml><?xml version="1.0" encoding="utf-8"?>
<sst xmlns="http://schemas.openxmlformats.org/spreadsheetml/2006/main" count="629" uniqueCount="183">
  <si>
    <t>သင့်ငွေ</t>
  </si>
  <si>
    <t>နှုန်း</t>
  </si>
  <si>
    <t>အရေအတွက်</t>
  </si>
  <si>
    <t>အမျိုးအစား</t>
  </si>
  <si>
    <t>စဉ်</t>
  </si>
  <si>
    <t>Ph 09453932632-09428319270</t>
  </si>
  <si>
    <t>ဒိန်ချဉ်</t>
  </si>
  <si>
    <t>အငဲလေး</t>
  </si>
  <si>
    <t>Total</t>
  </si>
  <si>
    <t>Milk  Yogut</t>
  </si>
  <si>
    <t>ကုန်ဝယ်</t>
  </si>
  <si>
    <t>ကုန်ရောင်း</t>
  </si>
  <si>
    <t>Rate</t>
  </si>
  <si>
    <t>ဝယ်သူ</t>
  </si>
  <si>
    <t>ရေအတွက်</t>
  </si>
  <si>
    <t>Date</t>
  </si>
  <si>
    <t xml:space="preserve">Date </t>
  </si>
  <si>
    <t>အကြောင်းအရာ</t>
  </si>
  <si>
    <t>စန်းပွင့်</t>
  </si>
  <si>
    <t>ဖယောင်းတိုင်</t>
  </si>
  <si>
    <t>စုစုပေါင်းအသုံး</t>
  </si>
  <si>
    <t>အဖြူသေး ၂၄တိုင်</t>
  </si>
  <si>
    <t>အဝါသေး ၂၄တိုင်</t>
  </si>
  <si>
    <t>ရောင်စုံ သေး ၂၄ တိုင်</t>
  </si>
  <si>
    <t>နေ့စဉ်အသုံးစရိတ်</t>
  </si>
  <si>
    <t>ဘူးခွံ</t>
  </si>
  <si>
    <t xml:space="preserve">မလိုင်အပြည့် သဘာဝနွားနို့ </t>
  </si>
  <si>
    <t xml:space="preserve">                                                                                                                                                                                                    </t>
  </si>
  <si>
    <t>Date 5-1-2026</t>
  </si>
  <si>
    <t>အနီသေး ၂၄ တိုင်</t>
  </si>
  <si>
    <t>Date -1-2026</t>
  </si>
  <si>
    <t>တံဆိပ်</t>
  </si>
  <si>
    <t>25-1-2026</t>
  </si>
  <si>
    <t>မတည်ငွေ</t>
  </si>
  <si>
    <t>ကုန်ပစ္စည်းလက်ကျန်တန်ဖိုး</t>
  </si>
  <si>
    <t>ကုန်ကြွေးရငွေ</t>
  </si>
  <si>
    <t>ရရန်ကုန်ကြွေး</t>
  </si>
  <si>
    <t>ငွေသားရောင်းရငွေ</t>
  </si>
  <si>
    <t>စာရင်းညှိနှိုင်းချက်</t>
  </si>
  <si>
    <t>အသားတင်အမြတ်</t>
  </si>
  <si>
    <t>လအတွင်းသုံးစွဲငွေ</t>
  </si>
  <si>
    <t>ငွေသားလက်ကျန်ငွေစုစုပေါင်း</t>
  </si>
  <si>
    <t>ရေခဲသေတ္တာ</t>
  </si>
  <si>
    <t>တံဆိပ်ဒီဇိုင်း</t>
  </si>
  <si>
    <t>Date Stant</t>
  </si>
  <si>
    <t>250 ml</t>
  </si>
  <si>
    <t>1 liter</t>
  </si>
  <si>
    <t>လက်ငင်း</t>
  </si>
  <si>
    <t>ရောင်းရငွေ</t>
  </si>
  <si>
    <t>ကုန်ကြွေး</t>
  </si>
  <si>
    <t>မှတ်ချက်</t>
  </si>
  <si>
    <t>ဒန်အိုး</t>
  </si>
  <si>
    <t xml:space="preserve">Total </t>
  </si>
  <si>
    <t>အခြားအသုံးစရိတ်များ</t>
  </si>
  <si>
    <t>စုစုပေါင်း</t>
  </si>
  <si>
    <t>လက်ကျန်</t>
  </si>
  <si>
    <t>လိပ်စာကဒ်</t>
  </si>
  <si>
    <t>ရငွေ</t>
  </si>
  <si>
    <t>အခြားအသုံးစရိတ်</t>
  </si>
  <si>
    <t>250 ML</t>
  </si>
  <si>
    <t>1 Litter</t>
  </si>
  <si>
    <t>လအတွင်း ရငွေ</t>
  </si>
  <si>
    <t>အထွေထွေအသုံးစရိတ်</t>
  </si>
  <si>
    <t>လက်ကျန်တန်ဖိုး</t>
  </si>
  <si>
    <t>ငွေသားရငွေ</t>
  </si>
  <si>
    <t>လအတွင်း သုံးစွဲငွေ</t>
  </si>
  <si>
    <t>Viss</t>
  </si>
  <si>
    <t>rate</t>
  </si>
  <si>
    <t>လအတွင်းရငွေ</t>
  </si>
  <si>
    <t>အငဲလေးစားသောက်ကုန်လုပ်ငန်း</t>
  </si>
  <si>
    <t>အမျိုးအမည်</t>
  </si>
  <si>
    <t>ငွေ (ကျပ်)</t>
  </si>
  <si>
    <t>250 Ml</t>
  </si>
  <si>
    <t>အငဲလေး သဘာဝဒိန်ချဉ်(သကြား)</t>
  </si>
  <si>
    <t>အငဲလေး သဘာဝဒိန်ချဉ်(ထန်းလျက်)</t>
  </si>
  <si>
    <t>1 litter</t>
  </si>
  <si>
    <t>အငဲလေး မလှိုင်ပြည့်သဘာဝနွားနို့</t>
  </si>
  <si>
    <t>အငဲလေး ကျန်းမာရေးချိယားစေ့ ဒိန်ချဉ်</t>
  </si>
  <si>
    <t>၁-၃-၂၀၂၆ရက်နေ့မှစတင်</t>
  </si>
  <si>
    <t>ဖြန့်ဖြူးရောင်းချပါမည်</t>
  </si>
  <si>
    <t>ဝင်ဆံ့မှု</t>
  </si>
  <si>
    <t>ရရန်</t>
  </si>
  <si>
    <t>အွန်လိုင်းလိုင်စင်</t>
  </si>
  <si>
    <t>ဓါတ်ခွဲခ</t>
  </si>
  <si>
    <t>လတွင်း</t>
  </si>
  <si>
    <t>Milk</t>
  </si>
  <si>
    <t>သကြား</t>
  </si>
  <si>
    <t>မီးသွေး</t>
  </si>
  <si>
    <t>နွားနို့</t>
  </si>
  <si>
    <t>ငွေသားရင်းနှီးမြုပ်နှံမှု</t>
  </si>
  <si>
    <t>ဆီဇိုး</t>
  </si>
  <si>
    <t>အခြား</t>
  </si>
  <si>
    <t xml:space="preserve"> </t>
  </si>
  <si>
    <t>ကုန်ကြမ်း</t>
  </si>
  <si>
    <t xml:space="preserve">နွားနို့ </t>
  </si>
  <si>
    <t xml:space="preserve">Viss </t>
  </si>
  <si>
    <t>Value</t>
  </si>
  <si>
    <t>မီး</t>
  </si>
  <si>
    <t>၁၂ လ</t>
  </si>
  <si>
    <t>လုပ်သား</t>
  </si>
  <si>
    <t>၅ ဦး</t>
  </si>
  <si>
    <t>တစ်နှစ် ဝင်ငွေ/ လည်ပတ်ငွေ</t>
  </si>
  <si>
    <t>ကုန်ချောထုတ်လုပ်မှု</t>
  </si>
  <si>
    <t xml:space="preserve">၂၅၀ ML </t>
  </si>
  <si>
    <t>+</t>
  </si>
  <si>
    <t>Date   -6-2026</t>
  </si>
  <si>
    <t xml:space="preserve">  </t>
  </si>
  <si>
    <t>၅-၇-၂၀၂၆</t>
  </si>
  <si>
    <t>မေတ္တာစံ</t>
  </si>
  <si>
    <t>၆-၇-၂၀၂၆</t>
  </si>
  <si>
    <t>အားကစား</t>
  </si>
  <si>
    <t>အက်စတာ</t>
  </si>
  <si>
    <t>ပြောင်း</t>
  </si>
  <si>
    <t>ဝက်ခေါက်</t>
  </si>
  <si>
    <t>စိမ်း</t>
  </si>
  <si>
    <t>ဇင်ထက်</t>
  </si>
  <si>
    <t>၁-၉-၂၀၂၆</t>
  </si>
  <si>
    <t xml:space="preserve">chia Seed </t>
  </si>
  <si>
    <t>Transport Charge</t>
  </si>
  <si>
    <t>DRD သက်သာ</t>
  </si>
  <si>
    <t>စာရင်းစစ်ချုပ်</t>
  </si>
  <si>
    <t>၂-၉-၂၀၂၆</t>
  </si>
  <si>
    <t xml:space="preserve">Moe Thiri </t>
  </si>
  <si>
    <t>ABC mark</t>
  </si>
  <si>
    <t>Academia</t>
  </si>
  <si>
    <t>နို့စိမ်း</t>
  </si>
  <si>
    <t>၃-၉-၂၀၂၆</t>
  </si>
  <si>
    <t>GTI အင်ကြင်း</t>
  </si>
  <si>
    <t>MCRD</t>
  </si>
  <si>
    <t>ဆိုင်ကယ်ဆီဖိုး</t>
  </si>
  <si>
    <t>အငဲသွားတိုက်တံ</t>
  </si>
  <si>
    <t>ငပိကြော်</t>
  </si>
  <si>
    <t>ဆိုင်ထိုင်</t>
  </si>
  <si>
    <t>ခေါက်ဆွဲ ကြော် လက်ဖက်ရည်ထုတ်</t>
  </si>
  <si>
    <t>ဝက်အူချောင်း</t>
  </si>
  <si>
    <t>ဆန်</t>
  </si>
  <si>
    <t>၄-၉-၂၀၂၆</t>
  </si>
  <si>
    <t>ရတနာမွန်</t>
  </si>
  <si>
    <t>CaCa Co</t>
  </si>
  <si>
    <t>၆-၉-၂၀၂၆</t>
  </si>
  <si>
    <t>ရုံး-၃</t>
  </si>
  <si>
    <t>၇-၉-၂၀၂၆</t>
  </si>
  <si>
    <t>မူဆယ်</t>
  </si>
  <si>
    <t>သာသနာရေး</t>
  </si>
  <si>
    <t>အားကာ</t>
  </si>
  <si>
    <t>အိမ်ရောင်း</t>
  </si>
  <si>
    <t>ပညလက</t>
  </si>
  <si>
    <t xml:space="preserve">ၐ </t>
  </si>
  <si>
    <t>၅-၉-၂၀၂၆</t>
  </si>
  <si>
    <t>ရေသန့်</t>
  </si>
  <si>
    <t>G-12 Match</t>
  </si>
  <si>
    <t>Date8 -9-2026</t>
  </si>
  <si>
    <t>Chia Seed Yoghurt</t>
  </si>
  <si>
    <t>၈-၉-၂၀၂၆</t>
  </si>
  <si>
    <t>ဝက်သား</t>
  </si>
  <si>
    <t>ကွမ်း</t>
  </si>
  <si>
    <t>ဆေးလိပ်+သောက်စရာ</t>
  </si>
  <si>
    <t>၉-၉-၂၀၂၆</t>
  </si>
  <si>
    <t>ချယ်ရီဈေး</t>
  </si>
  <si>
    <t>ခေါက်ဆွဲ+နံနံပင်ရှောက်ရွက်</t>
  </si>
  <si>
    <t>ဆီဖိုး</t>
  </si>
  <si>
    <t>၁၀-၉-၂၀၂၆</t>
  </si>
  <si>
    <t>၁၁-၉-၂၀၂၆</t>
  </si>
  <si>
    <t>သုခတော်ဝင်</t>
  </si>
  <si>
    <t>ဗူးကြီး</t>
  </si>
  <si>
    <t>၁၂-၉-၂၀၂၆</t>
  </si>
  <si>
    <t>ရွက်နု</t>
  </si>
  <si>
    <t>၁၃-၉-၂၀၂၆</t>
  </si>
  <si>
    <t>၁၄-၉-၂၀၂၆</t>
  </si>
  <si>
    <t>အိတ်</t>
  </si>
  <si>
    <t>ကားဆီဖိူး</t>
  </si>
  <si>
    <t>အမဲစွပ်</t>
  </si>
  <si>
    <t>ဆေးဝယ်</t>
  </si>
  <si>
    <t>ငဲငဲမုန့်ဖိုး</t>
  </si>
  <si>
    <t>သားကြီးဖိနပ်</t>
  </si>
  <si>
    <t>သားကြီးမုန့်</t>
  </si>
  <si>
    <t>ချောကလက်</t>
  </si>
  <si>
    <t>ငဲငဲ Project စာအုပ်</t>
  </si>
  <si>
    <t>ဘူးကြီး</t>
  </si>
  <si>
    <t>အတိုး</t>
  </si>
  <si>
    <t>သောက်စရာ</t>
  </si>
  <si>
    <t>၁၅-၉-၂၀၂၆</t>
  </si>
  <si>
    <t>ပဲနို့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</si>
</sst>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10000455]0"/>
    <numFmt numFmtId="165" formatCode="[$-10000455]0.0"/>
  </numFmts>
  <fonts count="10" x14ac:knownFonts="1">
    <font>
      <sz val="11"/>
      <color theme="1"/>
      <name val="Calibri"/>
      <family val="2"/>
      <scheme val="minor"/>
    </font>
    <font>
      <sz val="15"/>
      <color theme="1"/>
      <name val="Pyidaungsu"/>
      <family val="2"/>
    </font>
    <font>
      <sz val="18"/>
      <color theme="1"/>
      <name val="Pyidaungsu"/>
      <family val="2"/>
    </font>
    <font>
      <b/>
      <sz val="18"/>
      <color theme="1"/>
      <name val="Pyidaungsu"/>
      <family val="2"/>
    </font>
    <font>
      <b/>
      <sz val="24"/>
      <color theme="1"/>
      <name val="Pyidaungsu"/>
      <family val="2"/>
    </font>
    <font>
      <b/>
      <sz val="15"/>
      <color theme="1"/>
      <name val="Pyidaungsu"/>
      <family val="2"/>
    </font>
    <font>
      <sz val="11"/>
      <color rgb="FF9C0006"/>
      <name val="Calibri"/>
      <family val="2"/>
      <scheme val="minor"/>
    </font>
    <font>
      <sz val="13"/>
      <color theme="1"/>
      <name val="Pyidaungsu"/>
      <family val="2"/>
    </font>
    <font>
      <b/>
      <sz val="13"/>
      <color theme="1"/>
      <name val="Pyidaungsu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6" fillId="2" borderId="0" applyNumberFormat="0" applyBorder="0" applyAlignment="0" applyProtection="0"/>
    <xf numFmtId="43" fontId="9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2" xfId="0" applyFont="1" applyBorder="1" applyAlignment="1">
      <alignment horizontal="right"/>
    </xf>
    <xf numFmtId="0" fontId="1" fillId="0" borderId="0" xfId="0" applyFont="1" applyBorder="1"/>
    <xf numFmtId="0" fontId="5" fillId="0" borderId="0" xfId="0" applyFont="1" applyBorder="1" applyAlignment="1">
      <alignment horizontal="right"/>
    </xf>
    <xf numFmtId="0" fontId="5" fillId="0" borderId="0" xfId="0" applyFont="1" applyBorder="1"/>
    <xf numFmtId="0" fontId="1" fillId="0" borderId="5" xfId="0" applyFont="1" applyBorder="1"/>
    <xf numFmtId="0" fontId="5" fillId="0" borderId="5" xfId="0" applyFont="1" applyBorder="1" applyAlignment="1">
      <alignment horizontal="right"/>
    </xf>
    <xf numFmtId="0" fontId="5" fillId="0" borderId="5" xfId="0" applyFont="1" applyBorder="1"/>
    <xf numFmtId="0" fontId="6" fillId="0" borderId="0" xfId="1" applyFill="1"/>
    <xf numFmtId="164" fontId="7" fillId="0" borderId="0" xfId="0" applyNumberFormat="1" applyFont="1"/>
    <xf numFmtId="164" fontId="8" fillId="0" borderId="0" xfId="0" applyNumberFormat="1" applyFont="1"/>
    <xf numFmtId="164" fontId="7" fillId="0" borderId="0" xfId="0" applyNumberFormat="1" applyFon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164" fontId="1" fillId="0" borderId="3" xfId="0" applyNumberFormat="1" applyFont="1" applyBorder="1"/>
    <xf numFmtId="164" fontId="5" fillId="0" borderId="2" xfId="0" applyNumberFormat="1" applyFont="1" applyBorder="1" applyAlignment="1">
      <alignment horizontal="right"/>
    </xf>
    <xf numFmtId="164" fontId="5" fillId="0" borderId="1" xfId="0" applyNumberFormat="1" applyFont="1" applyBorder="1"/>
    <xf numFmtId="164" fontId="1" fillId="0" borderId="0" xfId="0" applyNumberFormat="1" applyFont="1"/>
    <xf numFmtId="164" fontId="7" fillId="0" borderId="0" xfId="0" quotePrefix="1" applyNumberFormat="1" applyFont="1"/>
    <xf numFmtId="164" fontId="7" fillId="0" borderId="0" xfId="0" applyNumberFormat="1" applyFont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4" fontId="7" fillId="0" borderId="7" xfId="0" quotePrefix="1" applyNumberFormat="1" applyFont="1" applyBorder="1"/>
    <xf numFmtId="164" fontId="7" fillId="0" borderId="7" xfId="0" applyNumberFormat="1" applyFont="1" applyBorder="1"/>
    <xf numFmtId="164" fontId="7" fillId="0" borderId="7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right"/>
    </xf>
    <xf numFmtId="164" fontId="7" fillId="0" borderId="4" xfId="0" applyNumberFormat="1" applyFont="1" applyBorder="1" applyAlignment="1">
      <alignment vertical="center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 applyBorder="1"/>
    <xf numFmtId="164" fontId="8" fillId="0" borderId="0" xfId="0" applyNumberFormat="1" applyFont="1" applyBorder="1"/>
    <xf numFmtId="164" fontId="5" fillId="0" borderId="1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right" vertical="center"/>
    </xf>
    <xf numFmtId="164" fontId="7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left" vertical="center"/>
    </xf>
    <xf numFmtId="164" fontId="8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right" vertical="center"/>
    </xf>
    <xf numFmtId="164" fontId="7" fillId="0" borderId="0" xfId="0" quotePrefix="1" applyNumberFormat="1" applyFont="1" applyBorder="1"/>
    <xf numFmtId="164" fontId="7" fillId="0" borderId="0" xfId="0" applyNumberFormat="1" applyFont="1" applyBorder="1" applyAlignment="1">
      <alignment horizontal="right" vertical="center"/>
    </xf>
    <xf numFmtId="164" fontId="8" fillId="0" borderId="0" xfId="0" applyNumberFormat="1" applyFont="1" applyBorder="1" applyAlignment="1">
      <alignment vertical="center"/>
    </xf>
    <xf numFmtId="164" fontId="8" fillId="0" borderId="9" xfId="0" applyNumberFormat="1" applyFont="1" applyBorder="1"/>
    <xf numFmtId="164" fontId="7" fillId="0" borderId="10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right" vertical="center"/>
    </xf>
    <xf numFmtId="164" fontId="8" fillId="0" borderId="3" xfId="0" applyNumberFormat="1" applyFont="1" applyBorder="1" applyAlignment="1">
      <alignment horizontal="center" vertical="center"/>
    </xf>
    <xf numFmtId="164" fontId="7" fillId="0" borderId="0" xfId="0" quotePrefix="1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right" vertical="center"/>
    </xf>
    <xf numFmtId="164" fontId="8" fillId="0" borderId="6" xfId="0" applyNumberFormat="1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4" fontId="7" fillId="0" borderId="13" xfId="0" applyNumberFormat="1" applyFont="1" applyBorder="1" applyAlignment="1"/>
    <xf numFmtId="164" fontId="8" fillId="0" borderId="13" xfId="0" applyNumberFormat="1" applyFont="1" applyBorder="1" applyAlignment="1">
      <alignment vertical="center"/>
    </xf>
    <xf numFmtId="164" fontId="8" fillId="0" borderId="13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/>
    <xf numFmtId="164" fontId="8" fillId="0" borderId="0" xfId="0" applyNumberFormat="1" applyFont="1" applyAlignment="1">
      <alignment horizontal="center" vertical="center"/>
    </xf>
    <xf numFmtId="3" fontId="5" fillId="0" borderId="0" xfId="0" applyNumberFormat="1" applyFont="1" applyBorder="1" applyAlignment="1">
      <alignment horizontal="center"/>
    </xf>
    <xf numFmtId="164" fontId="7" fillId="0" borderId="7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vertical="center"/>
    </xf>
    <xf numFmtId="164" fontId="8" fillId="0" borderId="14" xfId="0" applyNumberFormat="1" applyFont="1" applyBorder="1" applyAlignment="1">
      <alignment vertical="center"/>
    </xf>
    <xf numFmtId="164" fontId="8" fillId="0" borderId="14" xfId="0" applyNumberFormat="1" applyFont="1" applyBorder="1" applyAlignment="1">
      <alignment horizontal="right" vertical="center"/>
    </xf>
    <xf numFmtId="164" fontId="8" fillId="0" borderId="14" xfId="0" applyNumberFormat="1" applyFont="1" applyBorder="1" applyAlignment="1">
      <alignment horizontal="right"/>
    </xf>
    <xf numFmtId="164" fontId="8" fillId="0" borderId="4" xfId="0" applyNumberFormat="1" applyFont="1" applyBorder="1" applyAlignment="1">
      <alignment vertical="center"/>
    </xf>
    <xf numFmtId="164" fontId="7" fillId="0" borderId="15" xfId="0" applyNumberFormat="1" applyFont="1" applyBorder="1"/>
    <xf numFmtId="164" fontId="7" fillId="0" borderId="15" xfId="0" quotePrefix="1" applyNumberFormat="1" applyFont="1" applyBorder="1"/>
    <xf numFmtId="164" fontId="7" fillId="0" borderId="16" xfId="0" quotePrefix="1" applyNumberFormat="1" applyFont="1" applyBorder="1"/>
    <xf numFmtId="164" fontId="7" fillId="0" borderId="6" xfId="0" applyNumberFormat="1" applyFont="1" applyBorder="1"/>
    <xf numFmtId="164" fontId="7" fillId="0" borderId="6" xfId="0" applyNumberFormat="1" applyFont="1" applyBorder="1" applyAlignment="1">
      <alignment vertical="center"/>
    </xf>
    <xf numFmtId="164" fontId="7" fillId="0" borderId="6" xfId="0" applyNumberFormat="1" applyFont="1" applyBorder="1" applyAlignment="1">
      <alignment horizontal="right" vertical="center"/>
    </xf>
    <xf numFmtId="164" fontId="8" fillId="0" borderId="1" xfId="0" applyNumberFormat="1" applyFont="1" applyBorder="1"/>
    <xf numFmtId="164" fontId="7" fillId="3" borderId="15" xfId="0" applyNumberFormat="1" applyFont="1" applyFill="1" applyBorder="1"/>
    <xf numFmtId="164" fontId="7" fillId="3" borderId="7" xfId="0" applyNumberFormat="1" applyFont="1" applyFill="1" applyBorder="1"/>
    <xf numFmtId="164" fontId="7" fillId="3" borderId="7" xfId="0" applyNumberFormat="1" applyFont="1" applyFill="1" applyBorder="1" applyAlignment="1">
      <alignment vertical="center"/>
    </xf>
    <xf numFmtId="164" fontId="7" fillId="3" borderId="7" xfId="0" applyNumberFormat="1" applyFont="1" applyFill="1" applyBorder="1" applyAlignment="1">
      <alignment horizontal="right" vertical="center" wrapText="1"/>
    </xf>
    <xf numFmtId="164" fontId="7" fillId="3" borderId="15" xfId="0" quotePrefix="1" applyNumberFormat="1" applyFont="1" applyFill="1" applyBorder="1"/>
    <xf numFmtId="164" fontId="7" fillId="3" borderId="7" xfId="0" applyNumberFormat="1" applyFont="1" applyFill="1" applyBorder="1" applyAlignment="1">
      <alignment horizontal="center" vertical="center"/>
    </xf>
    <xf numFmtId="43" fontId="7" fillId="0" borderId="0" xfId="2" applyFont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/>
    <xf numFmtId="164" fontId="0" fillId="0" borderId="0" xfId="0" applyNumberFormat="1"/>
    <xf numFmtId="164" fontId="7" fillId="0" borderId="15" xfId="0" applyNumberFormat="1" applyFont="1" applyBorder="1" applyAlignment="1">
      <alignment horizontal="right" vertical="center"/>
    </xf>
    <xf numFmtId="164" fontId="7" fillId="0" borderId="15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7" fillId="0" borderId="0" xfId="0" applyNumberFormat="1" applyFont="1"/>
    <xf numFmtId="164" fontId="8" fillId="0" borderId="0" xfId="0" applyNumberFormat="1" applyFont="1" applyAlignment="1">
      <alignment horizontal="center"/>
    </xf>
    <xf numFmtId="164" fontId="7" fillId="0" borderId="4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wrapText="1"/>
    </xf>
    <xf numFmtId="164" fontId="8" fillId="0" borderId="8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Bad" xfId="1" builtinId="27"/>
    <cellStyle name="Comma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-%20Au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EC\Downloads\2026_%20F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(3)"/>
      <sheetName val="Credit "/>
      <sheetName val="Statment"/>
      <sheetName val="Profit"/>
      <sheetName val="Statment (2)"/>
      <sheetName val="Statment (3)"/>
      <sheetName val="Other Expen "/>
      <sheetName val="Yogut Profit"/>
      <sheetName val="daily expen"/>
      <sheetName val="Yogurt"/>
      <sheetName val="Date"/>
      <sheetName val="Canddle"/>
      <sheetName val="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8">
          <cell r="Q128">
            <v>674</v>
          </cell>
          <cell r="R128">
            <v>154</v>
          </cell>
          <cell r="S128">
            <v>2679.181818181818</v>
          </cell>
          <cell r="T128">
            <v>684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(3)"/>
      <sheetName val="Credit "/>
      <sheetName val="Statment"/>
      <sheetName val="Statment (2)"/>
      <sheetName val="Statment (3)"/>
      <sheetName val="Other Expen "/>
      <sheetName val="Yogut Profit"/>
      <sheetName val="daily expen"/>
      <sheetName val="Yogurt"/>
      <sheetName val="Date"/>
      <sheetName val="Canddle"/>
      <sheetName val="Price"/>
    </sheetNames>
    <sheetDataSet>
      <sheetData sheetId="0"/>
      <sheetData sheetId="1"/>
      <sheetData sheetId="2"/>
      <sheetData sheetId="3"/>
      <sheetData sheetId="4"/>
      <sheetData sheetId="5"/>
      <sheetData sheetId="6">
        <row r="107">
          <cell r="U107">
            <v>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57"/>
  <sheetViews>
    <sheetView showZeros="0" topLeftCell="A3" workbookViewId="0">
      <selection activeCell="J20" sqref="J20"/>
    </sheetView>
  </sheetViews>
  <sheetFormatPr defaultRowHeight="24.75" x14ac:dyDescent="0.7"/>
  <cols>
    <col min="1" max="1" width="12.7109375" style="16" customWidth="1"/>
    <col min="2" max="2" width="14.5703125" style="16" customWidth="1"/>
    <col min="3" max="3" width="25.85546875" style="26" customWidth="1"/>
    <col min="4" max="4" width="2.7109375" style="26" customWidth="1"/>
    <col min="5" max="5" width="19.140625" style="26" customWidth="1"/>
    <col min="6" max="6" width="6.42578125" style="26" customWidth="1"/>
    <col min="7" max="7" width="18.140625" style="16" customWidth="1"/>
    <col min="8" max="8" width="9.140625" style="16"/>
    <col min="9" max="9" width="20" style="16" customWidth="1"/>
    <col min="10" max="10" width="16.5703125" style="16" customWidth="1"/>
    <col min="11" max="11" width="9.140625" style="16"/>
    <col min="12" max="12" width="26.85546875" style="16" customWidth="1"/>
    <col min="13" max="13" width="9.140625" style="16"/>
    <col min="14" max="14" width="9.42578125" style="16" customWidth="1"/>
    <col min="15" max="16" width="9.140625" style="16"/>
    <col min="17" max="17" width="10.85546875" style="16" customWidth="1"/>
    <col min="18" max="18" width="21.28515625" style="16" customWidth="1"/>
    <col min="19" max="16384" width="9.140625" style="16"/>
  </cols>
  <sheetData>
    <row r="3" spans="1:18" x14ac:dyDescent="0.7">
      <c r="A3" s="17"/>
      <c r="E3" s="48"/>
    </row>
    <row r="4" spans="1:18" x14ac:dyDescent="0.7">
      <c r="A4" s="40"/>
      <c r="B4" s="40"/>
      <c r="C4" s="49"/>
      <c r="D4" s="49"/>
      <c r="E4" s="49"/>
      <c r="F4" s="49"/>
      <c r="H4" s="26"/>
      <c r="I4" s="48"/>
      <c r="J4" s="48"/>
      <c r="L4" s="26"/>
      <c r="M4" s="26"/>
      <c r="N4" s="26"/>
      <c r="O4" s="26"/>
      <c r="P4" s="26"/>
      <c r="Q4" s="48"/>
      <c r="R4" s="48"/>
    </row>
    <row r="5" spans="1:18" x14ac:dyDescent="0.7">
      <c r="A5" s="41"/>
      <c r="B5" s="41"/>
      <c r="C5" s="50"/>
      <c r="D5" s="51"/>
      <c r="E5" s="52"/>
      <c r="F5" s="51"/>
      <c r="H5" s="26"/>
      <c r="I5" s="48"/>
      <c r="J5" s="48"/>
      <c r="L5" s="26"/>
      <c r="M5" s="26"/>
      <c r="N5" s="26"/>
      <c r="O5" s="26"/>
      <c r="P5" s="26"/>
      <c r="Q5" s="48"/>
      <c r="R5" s="48"/>
    </row>
    <row r="6" spans="1:18" x14ac:dyDescent="0.7">
      <c r="A6" s="53"/>
      <c r="B6" s="40"/>
      <c r="C6" s="49" t="s">
        <v>33</v>
      </c>
      <c r="D6" s="54"/>
      <c r="E6" s="55">
        <f>+Statment!D5</f>
        <v>1500000</v>
      </c>
      <c r="F6" s="49"/>
      <c r="H6" s="26"/>
      <c r="I6" s="48"/>
      <c r="J6" s="48"/>
      <c r="L6" s="26"/>
      <c r="M6" s="26"/>
      <c r="N6" s="26"/>
      <c r="O6" s="26"/>
      <c r="P6" s="26"/>
      <c r="Q6" s="48"/>
      <c r="R6" s="48"/>
    </row>
    <row r="7" spans="1:18" x14ac:dyDescent="0.7">
      <c r="A7" s="40"/>
      <c r="B7" s="40"/>
      <c r="C7" s="49"/>
      <c r="D7" s="54"/>
      <c r="E7" s="54"/>
      <c r="F7" s="49"/>
      <c r="H7" s="26"/>
      <c r="I7" s="48"/>
      <c r="J7" s="48"/>
      <c r="L7" s="26"/>
      <c r="M7" s="26"/>
      <c r="N7" s="26"/>
      <c r="O7" s="26"/>
      <c r="P7" s="26"/>
      <c r="Q7" s="48"/>
      <c r="R7" s="48"/>
    </row>
    <row r="8" spans="1:18" x14ac:dyDescent="0.7">
      <c r="A8" s="53"/>
      <c r="B8" s="40"/>
      <c r="C8" s="49" t="s">
        <v>35</v>
      </c>
      <c r="D8" s="54"/>
      <c r="E8" s="54">
        <f>Statment!F15</f>
        <v>0</v>
      </c>
      <c r="F8" s="49"/>
      <c r="H8" s="26"/>
      <c r="I8" s="48"/>
      <c r="J8" s="48"/>
      <c r="L8" s="26"/>
      <c r="M8" s="26"/>
      <c r="N8" s="26"/>
      <c r="O8" s="26"/>
      <c r="P8" s="26"/>
      <c r="Q8" s="48"/>
      <c r="R8" s="48"/>
    </row>
    <row r="9" spans="1:18" x14ac:dyDescent="0.7">
      <c r="A9" s="53"/>
      <c r="B9" s="40"/>
      <c r="C9" s="60" t="s">
        <v>37</v>
      </c>
      <c r="D9" s="54"/>
      <c r="E9" s="54">
        <f>Statment!F14</f>
        <v>2103800</v>
      </c>
      <c r="F9" s="49"/>
      <c r="H9" s="26"/>
      <c r="I9" s="48"/>
      <c r="J9" s="48"/>
      <c r="L9" s="26"/>
      <c r="M9" s="26"/>
      <c r="N9" s="26"/>
      <c r="O9" s="26"/>
      <c r="P9" s="26"/>
      <c r="Q9" s="48"/>
      <c r="R9" s="48"/>
    </row>
    <row r="10" spans="1:18" x14ac:dyDescent="0.7">
      <c r="A10" s="53"/>
      <c r="B10" s="40"/>
      <c r="C10" s="60" t="s">
        <v>89</v>
      </c>
      <c r="D10" s="54"/>
      <c r="E10" s="54"/>
      <c r="F10" s="49"/>
      <c r="H10" s="26"/>
      <c r="I10" s="48"/>
      <c r="J10" s="48"/>
      <c r="L10" s="26"/>
      <c r="M10" s="26"/>
      <c r="N10" s="26"/>
      <c r="O10" s="26"/>
      <c r="P10" s="26"/>
      <c r="Q10" s="48"/>
      <c r="R10" s="48"/>
    </row>
    <row r="11" spans="1:18" x14ac:dyDescent="0.7">
      <c r="A11" s="53"/>
      <c r="B11" s="40"/>
      <c r="C11" s="49" t="s">
        <v>68</v>
      </c>
      <c r="D11" s="54"/>
      <c r="E11" s="52">
        <f>E8+E9+E10</f>
        <v>2103800</v>
      </c>
      <c r="F11" s="49"/>
      <c r="H11" s="26"/>
      <c r="I11" s="48"/>
      <c r="J11" s="48"/>
      <c r="L11" s="26"/>
      <c r="M11" s="26"/>
      <c r="N11" s="26"/>
      <c r="O11" s="26"/>
      <c r="P11" s="26"/>
      <c r="Q11" s="48"/>
      <c r="R11" s="48"/>
    </row>
    <row r="12" spans="1:18" x14ac:dyDescent="0.7">
      <c r="A12" s="53"/>
      <c r="B12" s="40"/>
      <c r="C12" s="49" t="s">
        <v>10</v>
      </c>
      <c r="D12" s="54"/>
      <c r="E12" s="54">
        <f>'Yogut Profit'!M104</f>
        <v>1304600</v>
      </c>
      <c r="F12" s="49"/>
      <c r="H12" s="26"/>
      <c r="I12" s="26"/>
      <c r="J12" s="26"/>
      <c r="L12" s="26"/>
      <c r="M12" s="26"/>
      <c r="N12" s="26"/>
      <c r="O12" s="26"/>
      <c r="P12" s="26"/>
      <c r="Q12" s="48"/>
      <c r="R12" s="48"/>
    </row>
    <row r="13" spans="1:18" x14ac:dyDescent="0.7">
      <c r="A13" s="53"/>
      <c r="B13" s="40"/>
      <c r="C13" s="49" t="s">
        <v>62</v>
      </c>
      <c r="D13" s="54"/>
      <c r="E13" s="54">
        <f>'Other Expen '!E28</f>
        <v>689500</v>
      </c>
      <c r="F13" s="49"/>
      <c r="H13" s="26"/>
      <c r="I13" s="26"/>
      <c r="J13" s="26"/>
      <c r="L13" s="26"/>
      <c r="M13" s="26"/>
      <c r="N13" s="26"/>
      <c r="O13" s="26"/>
      <c r="P13" s="26"/>
      <c r="Q13" s="48"/>
      <c r="R13" s="48"/>
    </row>
    <row r="14" spans="1:18" ht="25.5" thickBot="1" x14ac:dyDescent="0.75">
      <c r="A14" s="53"/>
      <c r="B14" s="40"/>
      <c r="C14" s="49" t="s">
        <v>24</v>
      </c>
      <c r="D14" s="54"/>
      <c r="E14" s="54">
        <f>'daily expen'!C63</f>
        <v>350500</v>
      </c>
      <c r="F14" s="49"/>
      <c r="H14" s="26"/>
      <c r="I14" s="26"/>
      <c r="J14" s="26"/>
      <c r="L14" s="26"/>
      <c r="M14" s="26"/>
      <c r="N14" s="26"/>
      <c r="O14" s="26"/>
      <c r="P14" s="26"/>
      <c r="Q14" s="48"/>
      <c r="R14" s="48"/>
    </row>
    <row r="15" spans="1:18" ht="26.25" thickTop="1" thickBot="1" x14ac:dyDescent="0.75">
      <c r="A15" s="53"/>
      <c r="B15" s="40"/>
      <c r="C15" s="49" t="s">
        <v>40</v>
      </c>
      <c r="D15" s="54"/>
      <c r="E15" s="61">
        <f>E12+E13+E14</f>
        <v>2344600</v>
      </c>
      <c r="F15" s="49"/>
      <c r="H15" s="26"/>
      <c r="I15" s="26"/>
      <c r="J15" s="90"/>
      <c r="L15" s="26"/>
      <c r="M15" s="26"/>
      <c r="N15" s="26"/>
      <c r="O15" s="26"/>
      <c r="P15" s="26"/>
      <c r="Q15" s="48"/>
      <c r="R15" s="48"/>
    </row>
    <row r="16" spans="1:18" ht="25.5" thickTop="1" x14ac:dyDescent="0.7">
      <c r="A16" s="53"/>
      <c r="B16" s="40"/>
      <c r="C16" s="49"/>
      <c r="D16" s="54"/>
      <c r="E16" s="52"/>
      <c r="F16" s="49"/>
      <c r="H16" s="26"/>
      <c r="I16" s="26"/>
      <c r="J16" s="26"/>
      <c r="L16" s="26"/>
      <c r="M16" s="26"/>
      <c r="N16" s="26"/>
      <c r="O16" s="26"/>
      <c r="P16" s="26"/>
      <c r="Q16" s="48"/>
      <c r="R16" s="48"/>
    </row>
    <row r="17" spans="1:18" ht="25.5" thickBot="1" x14ac:dyDescent="0.75">
      <c r="A17" s="53"/>
      <c r="B17" s="40"/>
      <c r="C17" s="49"/>
      <c r="D17" s="54"/>
      <c r="E17" s="52"/>
      <c r="F17" s="49"/>
      <c r="H17" s="26"/>
      <c r="I17" s="26"/>
      <c r="J17" s="26"/>
      <c r="L17" s="26"/>
      <c r="M17" s="26"/>
      <c r="N17" s="26"/>
      <c r="O17" s="26"/>
      <c r="P17" s="26"/>
      <c r="Q17" s="48"/>
      <c r="R17" s="48"/>
    </row>
    <row r="18" spans="1:18" ht="26.25" thickTop="1" thickBot="1" x14ac:dyDescent="0.75">
      <c r="A18" s="53"/>
      <c r="B18" s="40"/>
      <c r="C18" s="51" t="s">
        <v>41</v>
      </c>
      <c r="D18" s="54"/>
      <c r="E18" s="61">
        <f>E11-E15</f>
        <v>-240800</v>
      </c>
      <c r="F18" s="49"/>
      <c r="H18" s="26"/>
      <c r="I18" s="26"/>
      <c r="J18" s="26"/>
      <c r="L18" s="26"/>
      <c r="M18" s="26"/>
      <c r="N18" s="26"/>
      <c r="O18" s="26"/>
      <c r="P18" s="26"/>
      <c r="Q18" s="48"/>
      <c r="R18" s="48"/>
    </row>
    <row r="19" spans="1:18" ht="25.5" thickTop="1" x14ac:dyDescent="0.7">
      <c r="A19" s="53"/>
      <c r="B19" s="40"/>
      <c r="C19" s="49"/>
      <c r="D19" s="54"/>
      <c r="E19" s="54"/>
      <c r="F19" s="49"/>
      <c r="H19" s="26"/>
      <c r="I19" s="26"/>
      <c r="J19" s="48"/>
      <c r="L19" s="26"/>
      <c r="M19" s="26"/>
      <c r="N19" s="26"/>
      <c r="O19" s="26"/>
      <c r="P19" s="26"/>
      <c r="Q19" s="48"/>
      <c r="R19" s="48"/>
    </row>
    <row r="20" spans="1:18" x14ac:dyDescent="0.7">
      <c r="A20" s="40"/>
      <c r="B20" s="40"/>
      <c r="C20" s="49"/>
      <c r="D20" s="54"/>
      <c r="E20" s="54"/>
      <c r="F20" s="49"/>
      <c r="H20" s="26"/>
      <c r="I20" s="26"/>
      <c r="J20" s="48"/>
      <c r="L20" s="26"/>
      <c r="M20" s="26"/>
      <c r="N20" s="26"/>
      <c r="O20" s="26"/>
      <c r="P20" s="26"/>
      <c r="Q20" s="48"/>
      <c r="R20" s="48"/>
    </row>
    <row r="21" spans="1:18" x14ac:dyDescent="0.7">
      <c r="A21" s="40"/>
      <c r="B21" s="40"/>
      <c r="C21" s="49"/>
      <c r="D21" s="54"/>
      <c r="E21" s="54"/>
      <c r="F21" s="49"/>
      <c r="H21" s="26"/>
      <c r="I21" s="26"/>
      <c r="J21" s="48"/>
      <c r="L21" s="26"/>
      <c r="M21" s="26"/>
      <c r="N21" s="26"/>
      <c r="O21" s="26"/>
      <c r="P21" s="26"/>
      <c r="Q21" s="48"/>
      <c r="R21" s="48"/>
    </row>
    <row r="22" spans="1:18" x14ac:dyDescent="0.7">
      <c r="A22" s="40"/>
      <c r="B22" s="40"/>
      <c r="C22" s="49"/>
      <c r="D22" s="54"/>
      <c r="E22" s="54"/>
      <c r="F22" s="49"/>
      <c r="H22" s="26"/>
      <c r="I22" s="48"/>
      <c r="J22" s="48"/>
      <c r="L22" s="26"/>
      <c r="M22" s="26"/>
      <c r="N22" s="26"/>
      <c r="O22" s="26"/>
      <c r="P22" s="26"/>
      <c r="Q22" s="48"/>
      <c r="R22" s="48"/>
    </row>
    <row r="23" spans="1:18" x14ac:dyDescent="0.7">
      <c r="A23" s="40"/>
      <c r="B23" s="40"/>
      <c r="C23" s="49"/>
      <c r="E23" s="54"/>
      <c r="F23" s="49"/>
      <c r="H23" s="26"/>
      <c r="I23" s="48"/>
      <c r="J23" s="48"/>
      <c r="L23" s="26"/>
      <c r="M23" s="26"/>
      <c r="N23" s="26"/>
      <c r="O23" s="26"/>
      <c r="P23" s="26"/>
      <c r="Q23" s="48"/>
      <c r="R23" s="48"/>
    </row>
    <row r="24" spans="1:18" x14ac:dyDescent="0.7">
      <c r="A24" s="40"/>
      <c r="B24" s="40"/>
      <c r="C24" s="49"/>
      <c r="D24" s="54"/>
      <c r="E24" s="54"/>
      <c r="F24" s="49"/>
      <c r="H24" s="26"/>
      <c r="I24" s="48"/>
      <c r="J24" s="48"/>
      <c r="L24" s="26"/>
      <c r="M24" s="26"/>
      <c r="N24" s="26"/>
      <c r="O24" s="26"/>
      <c r="P24" s="26"/>
      <c r="Q24" s="48"/>
      <c r="R24" s="48"/>
    </row>
    <row r="25" spans="1:18" x14ac:dyDescent="0.7">
      <c r="A25" s="40"/>
      <c r="B25" s="40"/>
      <c r="C25" s="49"/>
      <c r="D25" s="54"/>
      <c r="E25" s="54"/>
      <c r="F25" s="49"/>
      <c r="H25" s="26"/>
      <c r="I25" s="48"/>
      <c r="J25" s="48"/>
      <c r="L25" s="26"/>
      <c r="M25" s="26"/>
      <c r="N25" s="26"/>
      <c r="O25" s="26"/>
      <c r="P25" s="26"/>
      <c r="Q25" s="48"/>
      <c r="R25" s="48"/>
    </row>
    <row r="26" spans="1:18" x14ac:dyDescent="0.7">
      <c r="A26" s="40"/>
      <c r="B26" s="40"/>
      <c r="C26" s="49"/>
      <c r="D26" s="54"/>
      <c r="E26" s="54"/>
      <c r="F26" s="49"/>
      <c r="H26" s="26"/>
      <c r="I26" s="48"/>
      <c r="J26" s="48"/>
      <c r="L26" s="26"/>
      <c r="M26" s="26"/>
      <c r="N26" s="26"/>
      <c r="O26" s="26"/>
      <c r="P26" s="26"/>
      <c r="Q26" s="48"/>
      <c r="R26" s="48"/>
    </row>
    <row r="27" spans="1:18" x14ac:dyDescent="0.7">
      <c r="H27" s="26"/>
      <c r="I27" s="48"/>
      <c r="J27" s="48"/>
      <c r="L27" s="26"/>
      <c r="M27" s="26"/>
      <c r="N27" s="26"/>
      <c r="O27" s="26"/>
      <c r="P27" s="26"/>
      <c r="Q27" s="48"/>
      <c r="R27" s="48"/>
    </row>
    <row r="28" spans="1:18" x14ac:dyDescent="0.7">
      <c r="H28" s="26"/>
      <c r="I28" s="48"/>
      <c r="J28" s="48"/>
      <c r="L28" s="26"/>
      <c r="M28" s="26"/>
      <c r="N28" s="26"/>
      <c r="O28" s="26"/>
      <c r="P28" s="26"/>
      <c r="Q28" s="48"/>
      <c r="R28" s="48"/>
    </row>
    <row r="29" spans="1:18" x14ac:dyDescent="0.7">
      <c r="H29" s="47"/>
      <c r="I29" s="48"/>
      <c r="J29" s="48"/>
      <c r="L29" s="26"/>
      <c r="M29" s="26"/>
      <c r="N29" s="26"/>
      <c r="O29" s="26"/>
      <c r="P29" s="26"/>
      <c r="Q29" s="48"/>
      <c r="R29" s="48"/>
    </row>
    <row r="30" spans="1:18" x14ac:dyDescent="0.7">
      <c r="H30" s="47"/>
      <c r="I30" s="48"/>
      <c r="J30" s="48"/>
      <c r="L30" s="26"/>
      <c r="M30" s="26"/>
      <c r="N30" s="26"/>
      <c r="O30" s="26"/>
      <c r="P30" s="26"/>
      <c r="Q30" s="48"/>
      <c r="R30" s="48"/>
    </row>
    <row r="31" spans="1:18" x14ac:dyDescent="0.7">
      <c r="H31" s="47"/>
      <c r="I31" s="48"/>
      <c r="J31" s="48"/>
      <c r="L31" s="26"/>
      <c r="M31" s="26"/>
      <c r="N31" s="26"/>
      <c r="O31" s="26"/>
      <c r="P31" s="26"/>
      <c r="Q31" s="48"/>
      <c r="R31" s="48"/>
    </row>
    <row r="32" spans="1:18" x14ac:dyDescent="0.7">
      <c r="H32" s="47"/>
      <c r="I32" s="48"/>
      <c r="J32" s="48"/>
      <c r="L32" s="26"/>
      <c r="M32" s="26"/>
      <c r="N32" s="26"/>
      <c r="O32" s="26"/>
      <c r="P32" s="26"/>
      <c r="Q32" s="48"/>
      <c r="R32" s="48"/>
    </row>
    <row r="33" spans="8:18" x14ac:dyDescent="0.7">
      <c r="H33" s="47"/>
      <c r="I33" s="48"/>
      <c r="J33" s="48"/>
      <c r="L33" s="26"/>
      <c r="M33" s="26"/>
      <c r="N33" s="26"/>
      <c r="O33" s="26"/>
      <c r="P33" s="26"/>
      <c r="Q33" s="48"/>
      <c r="R33" s="48"/>
    </row>
    <row r="34" spans="8:18" x14ac:dyDescent="0.7">
      <c r="H34" s="47"/>
      <c r="I34" s="48"/>
      <c r="J34" s="48"/>
      <c r="L34" s="26"/>
      <c r="M34" s="26"/>
      <c r="N34" s="26"/>
      <c r="O34" s="26"/>
      <c r="P34" s="26"/>
      <c r="Q34" s="48"/>
      <c r="R34" s="48"/>
    </row>
    <row r="35" spans="8:18" x14ac:dyDescent="0.7">
      <c r="H35" s="26"/>
      <c r="I35" s="48"/>
      <c r="J35" s="48"/>
      <c r="L35" s="26"/>
      <c r="M35" s="26"/>
      <c r="N35" s="26"/>
      <c r="O35" s="26"/>
      <c r="P35" s="26"/>
      <c r="Q35" s="48"/>
      <c r="R35" s="48"/>
    </row>
    <row r="36" spans="8:18" x14ac:dyDescent="0.7">
      <c r="H36" s="26"/>
      <c r="I36" s="48"/>
      <c r="J36" s="48"/>
      <c r="L36" s="26"/>
      <c r="M36" s="26"/>
      <c r="N36" s="26"/>
      <c r="O36" s="26"/>
      <c r="P36" s="26"/>
      <c r="Q36" s="48"/>
      <c r="R36" s="48"/>
    </row>
    <row r="37" spans="8:18" x14ac:dyDescent="0.7">
      <c r="H37" s="26"/>
      <c r="I37" s="26"/>
      <c r="J37" s="48"/>
      <c r="L37" s="26"/>
      <c r="M37" s="26"/>
      <c r="N37" s="26"/>
      <c r="O37" s="26"/>
      <c r="P37" s="26"/>
      <c r="Q37" s="48"/>
      <c r="R37" s="48"/>
    </row>
    <row r="38" spans="8:18" x14ac:dyDescent="0.7">
      <c r="H38" s="26"/>
      <c r="I38" s="48"/>
      <c r="J38" s="48"/>
      <c r="L38" s="26"/>
      <c r="M38" s="26"/>
      <c r="N38" s="26"/>
      <c r="O38" s="26"/>
      <c r="P38" s="26"/>
      <c r="Q38" s="48"/>
      <c r="R38" s="48"/>
    </row>
    <row r="39" spans="8:18" x14ac:dyDescent="0.7">
      <c r="H39" s="26"/>
      <c r="J39" s="48"/>
      <c r="L39" s="26"/>
      <c r="M39" s="26"/>
      <c r="N39" s="26"/>
      <c r="O39" s="26"/>
      <c r="P39" s="26"/>
      <c r="Q39" s="48"/>
      <c r="R39" s="48"/>
    </row>
    <row r="40" spans="8:18" x14ac:dyDescent="0.7">
      <c r="H40" s="26"/>
      <c r="I40" s="48"/>
      <c r="J40" s="48"/>
      <c r="L40" s="26"/>
      <c r="M40" s="26"/>
      <c r="N40" s="26"/>
      <c r="O40" s="26"/>
      <c r="P40" s="26"/>
      <c r="Q40" s="48"/>
      <c r="R40" s="48"/>
    </row>
    <row r="41" spans="8:18" x14ac:dyDescent="0.7">
      <c r="H41" s="26"/>
      <c r="I41" s="48"/>
      <c r="J41" s="48"/>
      <c r="L41" s="26"/>
      <c r="M41" s="26"/>
      <c r="N41" s="26"/>
      <c r="O41" s="26"/>
      <c r="P41" s="26"/>
      <c r="Q41" s="48"/>
      <c r="R41" s="48"/>
    </row>
    <row r="42" spans="8:18" x14ac:dyDescent="0.7">
      <c r="H42" s="26"/>
      <c r="I42" s="48"/>
      <c r="J42" s="48"/>
      <c r="L42" s="26"/>
      <c r="M42" s="26"/>
      <c r="N42" s="26"/>
      <c r="O42" s="26"/>
      <c r="P42" s="26"/>
      <c r="Q42" s="48"/>
      <c r="R42" s="48"/>
    </row>
    <row r="43" spans="8:18" x14ac:dyDescent="0.7">
      <c r="H43" s="26"/>
      <c r="I43" s="48"/>
      <c r="J43" s="48"/>
      <c r="L43" s="26"/>
      <c r="M43" s="26"/>
      <c r="N43" s="26"/>
      <c r="O43" s="26"/>
      <c r="P43" s="26"/>
      <c r="Q43" s="48"/>
      <c r="R43" s="48"/>
    </row>
    <row r="44" spans="8:18" x14ac:dyDescent="0.7">
      <c r="H44" s="26"/>
      <c r="I44" s="48"/>
      <c r="J44" s="48"/>
      <c r="L44" s="26"/>
      <c r="M44" s="26"/>
      <c r="N44" s="26"/>
      <c r="O44" s="26"/>
      <c r="P44" s="26"/>
      <c r="Q44" s="48"/>
      <c r="R44" s="48"/>
    </row>
    <row r="45" spans="8:18" x14ac:dyDescent="0.7">
      <c r="H45" s="26"/>
      <c r="I45" s="48"/>
      <c r="J45" s="48"/>
      <c r="L45" s="26"/>
      <c r="M45" s="26"/>
      <c r="N45" s="26"/>
      <c r="O45" s="26"/>
      <c r="P45" s="26"/>
      <c r="Q45" s="48"/>
      <c r="R45" s="48"/>
    </row>
    <row r="46" spans="8:18" x14ac:dyDescent="0.7">
      <c r="H46" s="26"/>
      <c r="I46" s="48"/>
      <c r="J46" s="48"/>
      <c r="L46" s="26"/>
      <c r="M46" s="26"/>
      <c r="N46" s="26"/>
      <c r="O46" s="26"/>
      <c r="P46" s="26"/>
      <c r="Q46" s="48"/>
      <c r="R46" s="48"/>
    </row>
    <row r="47" spans="8:18" x14ac:dyDescent="0.7">
      <c r="H47" s="26"/>
      <c r="I47" s="48"/>
      <c r="J47" s="48"/>
      <c r="L47" s="26"/>
      <c r="M47" s="26"/>
      <c r="N47" s="26"/>
      <c r="O47" s="26"/>
      <c r="P47" s="26"/>
      <c r="Q47" s="48"/>
      <c r="R47" s="48"/>
    </row>
    <row r="48" spans="8:18" x14ac:dyDescent="0.7">
      <c r="H48" s="26"/>
      <c r="I48" s="48"/>
      <c r="J48" s="48"/>
      <c r="L48" s="26"/>
      <c r="M48" s="26"/>
      <c r="N48" s="26"/>
      <c r="O48" s="26"/>
      <c r="P48" s="26"/>
      <c r="Q48" s="48"/>
      <c r="R48" s="48"/>
    </row>
    <row r="49" spans="1:2" s="26" customFormat="1" x14ac:dyDescent="0.7">
      <c r="A49" s="16"/>
      <c r="B49" s="16"/>
    </row>
    <row r="53" spans="1:2" s="26" customFormat="1" x14ac:dyDescent="0.7">
      <c r="A53" s="16"/>
      <c r="B53" s="16"/>
    </row>
    <row r="56" spans="1:2" s="26" customFormat="1" x14ac:dyDescent="0.7">
      <c r="A56" s="16"/>
      <c r="B56" s="16"/>
    </row>
    <row r="57" spans="1:2" s="26" customFormat="1" x14ac:dyDescent="0.7">
      <c r="A57" s="16"/>
      <c r="B57" s="1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showZeros="0" workbookViewId="0">
      <selection activeCell="B7" sqref="B7"/>
    </sheetView>
  </sheetViews>
  <sheetFormatPr defaultRowHeight="24.75" x14ac:dyDescent="0.7"/>
  <cols>
    <col min="1" max="1" width="12.7109375" style="16" customWidth="1"/>
    <col min="2" max="2" width="23.5703125" style="16" customWidth="1"/>
    <col min="3" max="3" width="29.85546875" style="26" customWidth="1"/>
    <col min="4" max="4" width="18.140625" style="16" customWidth="1"/>
    <col min="5" max="5" width="9.140625" style="16"/>
    <col min="6" max="6" width="10.140625" style="16" customWidth="1"/>
    <col min="7" max="7" width="16.5703125" style="16" customWidth="1"/>
    <col min="8" max="13" width="9.140625" style="16"/>
    <col min="14" max="14" width="10.85546875" style="16" customWidth="1"/>
    <col min="15" max="15" width="21.28515625" style="16" customWidth="1"/>
    <col min="16" max="16384" width="9.140625" style="16"/>
  </cols>
  <sheetData>
    <row r="1" spans="1:15" x14ac:dyDescent="0.7">
      <c r="B1" s="102" t="s">
        <v>35</v>
      </c>
      <c r="C1" s="102"/>
    </row>
    <row r="3" spans="1:15" x14ac:dyDescent="0.7">
      <c r="A3" s="17" t="s">
        <v>16</v>
      </c>
      <c r="B3" s="16" t="s">
        <v>17</v>
      </c>
      <c r="C3" s="26" t="s">
        <v>57</v>
      </c>
    </row>
    <row r="4" spans="1:15" x14ac:dyDescent="0.7">
      <c r="A4" s="53" t="s">
        <v>107</v>
      </c>
      <c r="B4" s="40" t="s">
        <v>108</v>
      </c>
      <c r="C4" s="49">
        <f>36000+33000</f>
        <v>69000</v>
      </c>
      <c r="E4" s="26"/>
      <c r="F4" s="48"/>
      <c r="G4" s="48"/>
      <c r="I4" s="26"/>
      <c r="J4" s="26"/>
      <c r="K4" s="26"/>
      <c r="L4" s="26"/>
      <c r="M4" s="26"/>
      <c r="N4" s="48"/>
      <c r="O4" s="48"/>
    </row>
    <row r="5" spans="1:15" x14ac:dyDescent="0.7">
      <c r="A5" s="53" t="s">
        <v>109</v>
      </c>
      <c r="B5" s="40" t="s">
        <v>110</v>
      </c>
      <c r="C5" s="49"/>
      <c r="E5" s="26"/>
      <c r="F5" s="48"/>
      <c r="G5" s="48"/>
      <c r="I5" s="26"/>
      <c r="J5" s="26"/>
      <c r="K5" s="26"/>
      <c r="L5" s="26"/>
      <c r="M5" s="26"/>
      <c r="N5" s="48"/>
      <c r="O5" s="48"/>
    </row>
    <row r="6" spans="1:15" x14ac:dyDescent="0.7">
      <c r="A6" s="53"/>
      <c r="B6" s="40"/>
      <c r="C6" s="49"/>
      <c r="E6" s="26"/>
      <c r="F6" s="48"/>
      <c r="G6" s="48"/>
      <c r="I6" s="26"/>
      <c r="J6" s="26"/>
      <c r="K6" s="26"/>
      <c r="L6" s="26"/>
      <c r="M6" s="26"/>
      <c r="N6" s="48"/>
      <c r="O6" s="48"/>
    </row>
    <row r="7" spans="1:15" x14ac:dyDescent="0.7">
      <c r="A7" s="53"/>
      <c r="B7" s="40"/>
      <c r="C7" s="49"/>
      <c r="E7" s="26"/>
      <c r="F7" s="48"/>
      <c r="G7" s="48"/>
      <c r="I7" s="26"/>
      <c r="J7" s="26"/>
      <c r="K7" s="26"/>
      <c r="L7" s="26"/>
      <c r="M7" s="26"/>
      <c r="N7" s="48"/>
      <c r="O7" s="48"/>
    </row>
    <row r="8" spans="1:15" x14ac:dyDescent="0.7">
      <c r="A8" s="53"/>
      <c r="B8" s="40"/>
      <c r="C8" s="49"/>
      <c r="E8" s="26"/>
      <c r="F8" s="48"/>
      <c r="G8" s="48"/>
      <c r="I8" s="26"/>
      <c r="J8" s="26"/>
      <c r="K8" s="26"/>
      <c r="L8" s="26"/>
      <c r="M8" s="26"/>
      <c r="N8" s="48"/>
      <c r="O8" s="48"/>
    </row>
    <row r="9" spans="1:15" x14ac:dyDescent="0.7">
      <c r="A9" s="53"/>
      <c r="B9" s="40"/>
      <c r="C9" s="49"/>
      <c r="E9" s="26"/>
      <c r="F9" s="48"/>
      <c r="G9" s="48"/>
      <c r="I9" s="26"/>
      <c r="J9" s="26"/>
      <c r="K9" s="26"/>
      <c r="L9" s="26"/>
      <c r="M9" s="26"/>
      <c r="N9" s="48"/>
      <c r="O9" s="48"/>
    </row>
    <row r="10" spans="1:15" x14ac:dyDescent="0.7">
      <c r="A10" s="53"/>
      <c r="B10" s="40"/>
      <c r="C10" s="49"/>
      <c r="E10" s="26"/>
      <c r="F10" s="48"/>
      <c r="G10" s="48"/>
      <c r="I10" s="26"/>
      <c r="J10" s="26"/>
      <c r="K10" s="26"/>
      <c r="L10" s="26"/>
      <c r="M10" s="26"/>
      <c r="N10" s="48"/>
      <c r="O10" s="48"/>
    </row>
    <row r="11" spans="1:15" x14ac:dyDescent="0.7">
      <c r="A11" s="53"/>
      <c r="B11" s="40"/>
      <c r="C11" s="49"/>
      <c r="E11" s="26"/>
      <c r="F11" s="48"/>
      <c r="G11" s="48"/>
      <c r="I11" s="26"/>
      <c r="J11" s="26"/>
      <c r="K11" s="26"/>
      <c r="L11" s="26"/>
      <c r="M11" s="26"/>
      <c r="N11" s="48"/>
      <c r="O11" s="48"/>
    </row>
    <row r="12" spans="1:15" x14ac:dyDescent="0.7">
      <c r="A12" s="53"/>
      <c r="B12" s="40"/>
      <c r="C12" s="49"/>
      <c r="E12" s="26"/>
      <c r="F12" s="48"/>
      <c r="G12" s="48"/>
      <c r="I12" s="26"/>
      <c r="J12" s="26"/>
      <c r="K12" s="26"/>
      <c r="L12" s="26"/>
      <c r="M12" s="26"/>
      <c r="N12" s="48"/>
      <c r="O12" s="48"/>
    </row>
    <row r="13" spans="1:15" x14ac:dyDescent="0.7">
      <c r="A13" s="53"/>
      <c r="B13" s="40"/>
      <c r="C13" s="49"/>
      <c r="E13" s="26"/>
      <c r="F13" s="26"/>
      <c r="G13" s="26"/>
      <c r="I13" s="26"/>
      <c r="J13" s="26"/>
      <c r="K13" s="26"/>
      <c r="L13" s="26"/>
      <c r="M13" s="26"/>
      <c r="N13" s="48"/>
      <c r="O13" s="48"/>
    </row>
    <row r="14" spans="1:15" x14ac:dyDescent="0.7">
      <c r="A14" s="53"/>
      <c r="B14" s="40"/>
      <c r="C14" s="49"/>
      <c r="E14" s="26"/>
      <c r="F14" s="26"/>
      <c r="G14" s="26"/>
      <c r="I14" s="26"/>
      <c r="J14" s="26"/>
      <c r="K14" s="26"/>
      <c r="L14" s="26"/>
      <c r="M14" s="26"/>
      <c r="N14" s="48"/>
      <c r="O14" s="48"/>
    </row>
    <row r="15" spans="1:15" x14ac:dyDescent="0.7">
      <c r="A15" s="53"/>
      <c r="B15" s="40"/>
      <c r="C15" s="49"/>
      <c r="E15" s="26"/>
      <c r="F15" s="26"/>
      <c r="G15" s="26"/>
      <c r="I15" s="26"/>
      <c r="J15" s="26"/>
      <c r="K15" s="26"/>
      <c r="L15" s="26"/>
      <c r="M15" s="26"/>
      <c r="N15" s="48"/>
      <c r="O15" s="48"/>
    </row>
    <row r="16" spans="1:15" x14ac:dyDescent="0.7">
      <c r="A16" s="53"/>
      <c r="B16" s="40"/>
      <c r="C16" s="49"/>
      <c r="E16" s="26"/>
      <c r="F16" s="26"/>
      <c r="G16" s="26"/>
      <c r="I16" s="26"/>
      <c r="J16" s="26"/>
      <c r="K16" s="26"/>
      <c r="L16" s="26"/>
      <c r="M16" s="26"/>
      <c r="N16" s="48"/>
      <c r="O16" s="48"/>
    </row>
    <row r="17" spans="1:15" x14ac:dyDescent="0.7">
      <c r="A17" s="53"/>
      <c r="B17" s="40"/>
      <c r="C17" s="49"/>
      <c r="E17" s="26"/>
      <c r="F17" s="26"/>
      <c r="G17" s="26"/>
      <c r="I17" s="26"/>
      <c r="J17" s="26"/>
      <c r="K17" s="26"/>
      <c r="L17" s="26"/>
      <c r="M17" s="26"/>
      <c r="N17" s="48"/>
      <c r="O17" s="48"/>
    </row>
    <row r="18" spans="1:15" x14ac:dyDescent="0.7">
      <c r="A18" s="53"/>
      <c r="B18" s="40"/>
      <c r="C18" s="49"/>
      <c r="E18" s="26"/>
      <c r="F18" s="26"/>
      <c r="G18" s="48"/>
      <c r="I18" s="26"/>
      <c r="J18" s="26"/>
      <c r="K18" s="26"/>
      <c r="L18" s="26"/>
      <c r="M18" s="26"/>
      <c r="N18" s="48"/>
      <c r="O18" s="48"/>
    </row>
    <row r="19" spans="1:15" x14ac:dyDescent="0.7">
      <c r="A19" s="40"/>
      <c r="B19" s="40"/>
      <c r="C19" s="49"/>
      <c r="E19" s="26"/>
      <c r="F19" s="26"/>
      <c r="G19" s="48"/>
      <c r="I19" s="26"/>
      <c r="J19" s="26"/>
      <c r="K19" s="26"/>
      <c r="L19" s="26"/>
      <c r="M19" s="26"/>
      <c r="N19" s="48"/>
      <c r="O19" s="48"/>
    </row>
    <row r="20" spans="1:15" x14ac:dyDescent="0.7">
      <c r="A20" s="41"/>
      <c r="B20" s="41" t="s">
        <v>54</v>
      </c>
      <c r="C20" s="51">
        <f>SUM(C4:C19)</f>
        <v>69000</v>
      </c>
      <c r="E20" s="26"/>
      <c r="F20" s="26"/>
      <c r="G20" s="48"/>
      <c r="I20" s="26"/>
      <c r="J20" s="26"/>
      <c r="K20" s="26"/>
      <c r="L20" s="26"/>
      <c r="M20" s="26"/>
      <c r="N20" s="48"/>
      <c r="O20" s="48"/>
    </row>
    <row r="21" spans="1:15" x14ac:dyDescent="0.7">
      <c r="A21" s="40"/>
      <c r="B21" s="40"/>
      <c r="C21" s="49"/>
      <c r="E21" s="26"/>
      <c r="F21" s="48"/>
      <c r="G21" s="48"/>
      <c r="I21" s="26"/>
      <c r="J21" s="26"/>
      <c r="K21" s="26"/>
      <c r="L21" s="26"/>
      <c r="M21" s="26"/>
      <c r="N21" s="48"/>
      <c r="O21" s="48"/>
    </row>
    <row r="22" spans="1:15" x14ac:dyDescent="0.7">
      <c r="A22" s="40"/>
      <c r="B22" s="40"/>
      <c r="C22" s="49"/>
      <c r="E22" s="26"/>
      <c r="F22" s="48"/>
      <c r="G22" s="48"/>
      <c r="I22" s="26"/>
      <c r="J22" s="26"/>
      <c r="K22" s="26"/>
      <c r="L22" s="26"/>
      <c r="M22" s="26"/>
      <c r="N22" s="48"/>
      <c r="O22" s="48"/>
    </row>
    <row r="23" spans="1:15" x14ac:dyDescent="0.7">
      <c r="A23" s="40"/>
      <c r="B23" s="40"/>
      <c r="C23" s="49"/>
      <c r="E23" s="26"/>
      <c r="F23" s="48"/>
      <c r="G23" s="48"/>
      <c r="I23" s="26"/>
      <c r="J23" s="26"/>
      <c r="K23" s="26"/>
      <c r="L23" s="26"/>
      <c r="M23" s="26"/>
      <c r="N23" s="48"/>
      <c r="O23" s="48"/>
    </row>
    <row r="24" spans="1:15" x14ac:dyDescent="0.7">
      <c r="A24" s="40"/>
      <c r="B24" s="40"/>
      <c r="C24" s="49"/>
      <c r="E24" s="26"/>
      <c r="F24" s="48"/>
      <c r="G24" s="48"/>
      <c r="I24" s="26"/>
      <c r="J24" s="26"/>
      <c r="K24" s="26"/>
      <c r="L24" s="26"/>
      <c r="M24" s="26"/>
      <c r="N24" s="48"/>
      <c r="O24" s="48"/>
    </row>
    <row r="25" spans="1:15" x14ac:dyDescent="0.7">
      <c r="A25" s="40"/>
      <c r="B25" s="40"/>
      <c r="C25" s="49"/>
      <c r="E25" s="26"/>
      <c r="F25" s="48"/>
      <c r="G25" s="48"/>
      <c r="I25" s="26"/>
      <c r="J25" s="26"/>
      <c r="K25" s="26"/>
      <c r="L25" s="26"/>
      <c r="M25" s="26"/>
      <c r="N25" s="48"/>
      <c r="O25" s="48"/>
    </row>
    <row r="26" spans="1:15" x14ac:dyDescent="0.7">
      <c r="E26" s="26"/>
      <c r="F26" s="48"/>
      <c r="G26" s="48"/>
      <c r="I26" s="26"/>
      <c r="J26" s="26"/>
      <c r="K26" s="26"/>
      <c r="L26" s="26"/>
      <c r="M26" s="26"/>
      <c r="N26" s="48"/>
      <c r="O26" s="48"/>
    </row>
    <row r="27" spans="1:15" x14ac:dyDescent="0.7">
      <c r="E27" s="47"/>
      <c r="F27" s="48"/>
      <c r="G27" s="48"/>
      <c r="I27" s="26"/>
      <c r="J27" s="26"/>
      <c r="K27" s="26"/>
      <c r="L27" s="26"/>
      <c r="M27" s="26"/>
      <c r="N27" s="48"/>
      <c r="O27" s="48"/>
    </row>
    <row r="28" spans="1:15" x14ac:dyDescent="0.7">
      <c r="E28" s="47"/>
      <c r="F28" s="48"/>
      <c r="G28" s="48"/>
      <c r="I28" s="26"/>
      <c r="J28" s="26"/>
      <c r="K28" s="26"/>
      <c r="L28" s="26"/>
      <c r="M28" s="26"/>
      <c r="N28" s="48"/>
      <c r="O28" s="48"/>
    </row>
    <row r="29" spans="1:15" x14ac:dyDescent="0.7">
      <c r="E29" s="47"/>
      <c r="F29" s="48"/>
      <c r="G29" s="48"/>
      <c r="I29" s="26"/>
      <c r="J29" s="26"/>
      <c r="K29" s="26"/>
      <c r="L29" s="26"/>
      <c r="M29" s="26"/>
      <c r="N29" s="48"/>
      <c r="O29" s="48"/>
    </row>
    <row r="30" spans="1:15" x14ac:dyDescent="0.7">
      <c r="E30" s="47"/>
      <c r="F30" s="48"/>
      <c r="G30" s="48"/>
      <c r="I30" s="26"/>
      <c r="J30" s="26"/>
      <c r="K30" s="26"/>
      <c r="L30" s="26"/>
      <c r="M30" s="26"/>
      <c r="N30" s="48"/>
      <c r="O30" s="48"/>
    </row>
    <row r="31" spans="1:15" x14ac:dyDescent="0.7">
      <c r="E31" s="47"/>
      <c r="F31" s="48"/>
      <c r="G31" s="48"/>
      <c r="I31" s="26"/>
      <c r="J31" s="26"/>
      <c r="K31" s="26"/>
      <c r="L31" s="26"/>
      <c r="M31" s="26"/>
      <c r="N31" s="48"/>
      <c r="O31" s="48"/>
    </row>
    <row r="32" spans="1:15" x14ac:dyDescent="0.7">
      <c r="E32" s="47"/>
      <c r="F32" s="48"/>
      <c r="G32" s="48"/>
      <c r="I32" s="26"/>
      <c r="J32" s="26"/>
      <c r="K32" s="26"/>
      <c r="L32" s="26"/>
      <c r="M32" s="26"/>
      <c r="N32" s="48"/>
      <c r="O32" s="48"/>
    </row>
    <row r="33" spans="1:15" x14ac:dyDescent="0.7">
      <c r="E33" s="26"/>
      <c r="F33" s="48"/>
      <c r="G33" s="48"/>
      <c r="I33" s="26"/>
      <c r="J33" s="26"/>
      <c r="K33" s="26"/>
      <c r="L33" s="26"/>
      <c r="M33" s="26"/>
      <c r="N33" s="48"/>
      <c r="O33" s="48"/>
    </row>
    <row r="34" spans="1:15" x14ac:dyDescent="0.7">
      <c r="E34" s="26"/>
      <c r="F34" s="48"/>
      <c r="G34" s="48"/>
      <c r="I34" s="26"/>
      <c r="J34" s="26"/>
      <c r="K34" s="26"/>
      <c r="L34" s="26"/>
      <c r="M34" s="26"/>
      <c r="N34" s="48"/>
      <c r="O34" s="48"/>
    </row>
    <row r="35" spans="1:15" x14ac:dyDescent="0.7">
      <c r="E35" s="26"/>
      <c r="F35" s="26"/>
      <c r="G35" s="48"/>
      <c r="I35" s="26"/>
      <c r="J35" s="26"/>
      <c r="K35" s="26"/>
      <c r="L35" s="26"/>
      <c r="M35" s="26"/>
      <c r="N35" s="48"/>
      <c r="O35" s="48"/>
    </row>
    <row r="36" spans="1:15" x14ac:dyDescent="0.7">
      <c r="E36" s="26"/>
      <c r="F36" s="48"/>
      <c r="G36" s="48"/>
      <c r="I36" s="26"/>
      <c r="J36" s="26"/>
      <c r="K36" s="26"/>
      <c r="L36" s="26"/>
      <c r="M36" s="26"/>
      <c r="N36" s="48"/>
      <c r="O36" s="48"/>
    </row>
    <row r="37" spans="1:15" x14ac:dyDescent="0.7">
      <c r="E37" s="26"/>
      <c r="F37" s="48"/>
      <c r="G37" s="48"/>
      <c r="I37" s="26"/>
      <c r="J37" s="26"/>
      <c r="K37" s="26"/>
      <c r="L37" s="26"/>
      <c r="M37" s="26"/>
      <c r="N37" s="48"/>
      <c r="O37" s="48"/>
    </row>
    <row r="38" spans="1:15" x14ac:dyDescent="0.7">
      <c r="E38" s="26"/>
      <c r="F38" s="48"/>
      <c r="G38" s="48"/>
      <c r="I38" s="26"/>
      <c r="J38" s="26"/>
      <c r="K38" s="26"/>
      <c r="L38" s="26"/>
      <c r="M38" s="26"/>
      <c r="N38" s="48"/>
      <c r="O38" s="48"/>
    </row>
    <row r="39" spans="1:15" x14ac:dyDescent="0.7">
      <c r="E39" s="26"/>
      <c r="F39" s="48"/>
      <c r="G39" s="48"/>
      <c r="I39" s="26"/>
      <c r="J39" s="26"/>
      <c r="K39" s="26"/>
      <c r="L39" s="26"/>
      <c r="M39" s="26"/>
      <c r="N39" s="48"/>
      <c r="O39" s="48"/>
    </row>
    <row r="40" spans="1:15" x14ac:dyDescent="0.7">
      <c r="E40" s="26"/>
      <c r="F40" s="48"/>
      <c r="G40" s="48"/>
      <c r="I40" s="26"/>
      <c r="J40" s="26"/>
      <c r="K40" s="26"/>
      <c r="L40" s="26"/>
      <c r="M40" s="26"/>
      <c r="N40" s="48"/>
      <c r="O40" s="48"/>
    </row>
    <row r="41" spans="1:15" x14ac:dyDescent="0.7">
      <c r="E41" s="26"/>
      <c r="F41" s="48"/>
      <c r="G41" s="48"/>
      <c r="I41" s="26"/>
      <c r="J41" s="26"/>
      <c r="K41" s="26"/>
      <c r="L41" s="26"/>
      <c r="M41" s="26"/>
      <c r="N41" s="48"/>
      <c r="O41" s="48"/>
    </row>
    <row r="42" spans="1:15" x14ac:dyDescent="0.7">
      <c r="E42" s="26"/>
      <c r="F42" s="48"/>
      <c r="G42" s="48"/>
      <c r="I42" s="26"/>
      <c r="J42" s="26"/>
      <c r="K42" s="26"/>
      <c r="L42" s="26"/>
      <c r="M42" s="26"/>
      <c r="N42" s="48"/>
      <c r="O42" s="48"/>
    </row>
    <row r="43" spans="1:15" x14ac:dyDescent="0.7">
      <c r="E43" s="26"/>
      <c r="F43" s="48"/>
      <c r="G43" s="48"/>
      <c r="I43" s="26"/>
      <c r="J43" s="26"/>
      <c r="K43" s="26"/>
      <c r="L43" s="26"/>
      <c r="M43" s="26"/>
      <c r="N43" s="48"/>
      <c r="O43" s="48"/>
    </row>
    <row r="44" spans="1:15" x14ac:dyDescent="0.7">
      <c r="E44" s="26"/>
      <c r="F44" s="48"/>
      <c r="G44" s="48"/>
      <c r="I44" s="26"/>
      <c r="J44" s="26"/>
      <c r="K44" s="26"/>
      <c r="L44" s="26"/>
      <c r="M44" s="26"/>
      <c r="N44" s="48"/>
      <c r="O44" s="48"/>
    </row>
    <row r="45" spans="1:15" x14ac:dyDescent="0.7">
      <c r="E45" s="26"/>
      <c r="F45" s="48"/>
      <c r="G45" s="48"/>
      <c r="I45" s="26"/>
      <c r="J45" s="26"/>
      <c r="K45" s="26"/>
      <c r="L45" s="26"/>
      <c r="M45" s="26"/>
      <c r="N45" s="48"/>
      <c r="O45" s="48"/>
    </row>
    <row r="46" spans="1:15" x14ac:dyDescent="0.7">
      <c r="E46" s="26"/>
      <c r="F46" s="48"/>
      <c r="G46" s="48"/>
      <c r="I46" s="26"/>
      <c r="J46" s="26"/>
      <c r="K46" s="26"/>
      <c r="L46" s="26"/>
      <c r="M46" s="26"/>
      <c r="N46" s="48"/>
      <c r="O46" s="48"/>
    </row>
    <row r="47" spans="1:15" s="26" customFormat="1" x14ac:dyDescent="0.7">
      <c r="A47" s="16"/>
      <c r="B47" s="16"/>
    </row>
    <row r="51" spans="1:2" s="26" customFormat="1" x14ac:dyDescent="0.7">
      <c r="A51" s="16"/>
      <c r="B51" s="16"/>
    </row>
    <row r="54" spans="1:2" s="26" customFormat="1" x14ac:dyDescent="0.7">
      <c r="A54" s="16"/>
      <c r="B54" s="16"/>
    </row>
    <row r="55" spans="1:2" s="26" customFormat="1" x14ac:dyDescent="0.7">
      <c r="A55" s="16"/>
      <c r="B55" s="16"/>
    </row>
  </sheetData>
  <mergeCells count="1">
    <mergeCell ref="B1:C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70"/>
  <sheetViews>
    <sheetView showZeros="0" topLeftCell="A10" workbookViewId="0">
      <selection activeCell="J27" sqref="J27"/>
    </sheetView>
  </sheetViews>
  <sheetFormatPr defaultRowHeight="24.75" x14ac:dyDescent="0.7"/>
  <cols>
    <col min="1" max="1" width="12.7109375" style="16" customWidth="1"/>
    <col min="2" max="2" width="30.42578125" style="26" customWidth="1"/>
    <col min="3" max="3" width="2.7109375" style="26" customWidth="1"/>
    <col min="4" max="4" width="19.140625" style="26" customWidth="1"/>
    <col min="5" max="5" width="2.140625" style="26" customWidth="1"/>
    <col min="6" max="6" width="18.140625" style="16" customWidth="1"/>
    <col min="7" max="7" width="9.140625" style="16"/>
    <col min="8" max="8" width="10.140625" style="16" customWidth="1"/>
    <col min="9" max="9" width="16.5703125" style="16" customWidth="1"/>
    <col min="10" max="15" width="9.140625" style="16"/>
    <col min="16" max="16" width="10.85546875" style="16" customWidth="1"/>
    <col min="17" max="17" width="21.28515625" style="16" customWidth="1"/>
    <col min="18" max="16384" width="9.140625" style="16"/>
  </cols>
  <sheetData>
    <row r="3" spans="1:17" x14ac:dyDescent="0.7">
      <c r="A3" s="17"/>
      <c r="D3" s="48"/>
    </row>
    <row r="4" spans="1:17" x14ac:dyDescent="0.7">
      <c r="A4" s="40"/>
      <c r="B4" s="49"/>
      <c r="C4" s="49"/>
      <c r="D4" s="49"/>
      <c r="E4" s="49"/>
      <c r="G4" s="26"/>
      <c r="H4" s="48"/>
      <c r="I4" s="48"/>
      <c r="K4" s="26"/>
      <c r="L4" s="26"/>
      <c r="M4" s="26"/>
      <c r="N4" s="26"/>
      <c r="O4" s="26"/>
      <c r="P4" s="48"/>
      <c r="Q4" s="48"/>
    </row>
    <row r="5" spans="1:17" x14ac:dyDescent="0.7">
      <c r="A5" s="41"/>
      <c r="B5" s="50" t="s">
        <v>33</v>
      </c>
      <c r="C5" s="51"/>
      <c r="D5" s="52">
        <f>SUM(D6:D13)</f>
        <v>1500000</v>
      </c>
      <c r="E5" s="51"/>
      <c r="G5" s="26"/>
      <c r="H5" s="48"/>
      <c r="I5" s="48"/>
      <c r="K5" s="26"/>
      <c r="L5" s="26"/>
      <c r="M5" s="26"/>
      <c r="N5" s="26"/>
      <c r="O5" s="26"/>
      <c r="P5" s="48"/>
      <c r="Q5" s="48"/>
    </row>
    <row r="6" spans="1:17" x14ac:dyDescent="0.7">
      <c r="A6" s="53"/>
      <c r="B6" s="49" t="s">
        <v>42</v>
      </c>
      <c r="C6" s="54"/>
      <c r="D6" s="55">
        <v>900000</v>
      </c>
      <c r="E6" s="49"/>
      <c r="G6" s="26"/>
      <c r="H6" s="48"/>
      <c r="I6" s="48"/>
      <c r="K6" s="26"/>
      <c r="L6" s="26"/>
      <c r="M6" s="26"/>
      <c r="N6" s="26"/>
      <c r="O6" s="26"/>
      <c r="P6" s="48"/>
      <c r="Q6" s="48"/>
    </row>
    <row r="7" spans="1:17" x14ac:dyDescent="0.7">
      <c r="A7" s="40"/>
      <c r="B7" s="49" t="s">
        <v>43</v>
      </c>
      <c r="C7" s="54"/>
      <c r="D7" s="54">
        <f>85000+25000</f>
        <v>110000</v>
      </c>
      <c r="E7" s="49"/>
      <c r="G7" s="26"/>
      <c r="H7" s="48"/>
      <c r="I7" s="48"/>
      <c r="K7" s="26"/>
      <c r="L7" s="26"/>
      <c r="M7" s="26"/>
      <c r="N7" s="26"/>
      <c r="O7" s="26"/>
      <c r="P7" s="48"/>
      <c r="Q7" s="48"/>
    </row>
    <row r="8" spans="1:17" x14ac:dyDescent="0.7">
      <c r="A8" s="40"/>
      <c r="B8" s="49" t="s">
        <v>51</v>
      </c>
      <c r="C8" s="54"/>
      <c r="D8" s="54">
        <v>200000</v>
      </c>
      <c r="E8" s="49"/>
      <c r="G8" s="26"/>
      <c r="H8" s="48"/>
      <c r="I8" s="48"/>
      <c r="K8" s="26"/>
      <c r="L8" s="26"/>
      <c r="M8" s="26"/>
      <c r="N8" s="26"/>
      <c r="O8" s="26"/>
      <c r="P8" s="48"/>
      <c r="Q8" s="48"/>
    </row>
    <row r="9" spans="1:17" x14ac:dyDescent="0.7">
      <c r="A9" s="40"/>
      <c r="B9" s="49" t="s">
        <v>56</v>
      </c>
      <c r="C9" s="54"/>
      <c r="D9" s="54">
        <v>15000</v>
      </c>
      <c r="E9" s="49"/>
      <c r="G9" s="26"/>
      <c r="H9" s="48"/>
      <c r="I9" s="48"/>
      <c r="K9" s="26"/>
      <c r="L9" s="26"/>
      <c r="M9" s="26"/>
      <c r="N9" s="26"/>
      <c r="O9" s="26"/>
      <c r="P9" s="48"/>
      <c r="Q9" s="48"/>
    </row>
    <row r="10" spans="1:17" x14ac:dyDescent="0.7">
      <c r="A10" s="40"/>
      <c r="B10" s="49" t="s">
        <v>44</v>
      </c>
      <c r="C10" s="54"/>
      <c r="D10" s="54">
        <v>85000</v>
      </c>
      <c r="E10" s="49"/>
      <c r="G10" s="26"/>
      <c r="H10" s="48"/>
      <c r="I10" s="48"/>
      <c r="K10" s="26"/>
      <c r="L10" s="26"/>
      <c r="M10" s="26"/>
      <c r="N10" s="26"/>
      <c r="O10" s="26"/>
      <c r="P10" s="48"/>
      <c r="Q10" s="48"/>
    </row>
    <row r="11" spans="1:17" x14ac:dyDescent="0.7">
      <c r="A11" s="53"/>
      <c r="B11" s="49" t="s">
        <v>82</v>
      </c>
      <c r="C11" s="54"/>
      <c r="D11" s="54">
        <v>120000</v>
      </c>
      <c r="E11" s="49"/>
      <c r="G11" s="26"/>
      <c r="H11" s="48"/>
      <c r="I11" s="48"/>
      <c r="K11" s="26"/>
      <c r="L11" s="26"/>
      <c r="M11" s="26"/>
      <c r="N11" s="26"/>
      <c r="O11" s="26"/>
      <c r="P11" s="48"/>
      <c r="Q11" s="48"/>
    </row>
    <row r="12" spans="1:17" x14ac:dyDescent="0.7">
      <c r="A12" s="53"/>
      <c r="B12" s="49" t="s">
        <v>83</v>
      </c>
      <c r="C12" s="54"/>
      <c r="D12" s="54">
        <v>70000</v>
      </c>
      <c r="E12" s="49"/>
      <c r="G12" s="26"/>
      <c r="H12" s="48"/>
      <c r="I12" s="48"/>
      <c r="K12" s="26"/>
      <c r="L12" s="26"/>
      <c r="M12" s="26"/>
      <c r="N12" s="26"/>
      <c r="O12" s="26"/>
      <c r="P12" s="48"/>
      <c r="Q12" s="48"/>
    </row>
    <row r="13" spans="1:17" x14ac:dyDescent="0.7">
      <c r="A13" s="53"/>
      <c r="B13" s="49"/>
      <c r="C13" s="54"/>
      <c r="D13" s="54"/>
      <c r="E13" s="49"/>
      <c r="G13" s="26"/>
      <c r="H13" s="48"/>
      <c r="I13" s="48"/>
      <c r="K13" s="26"/>
      <c r="L13" s="26"/>
      <c r="M13" s="26"/>
      <c r="N13" s="26"/>
      <c r="O13" s="26"/>
      <c r="P13" s="48"/>
      <c r="Q13" s="48"/>
    </row>
    <row r="14" spans="1:17" x14ac:dyDescent="0.7">
      <c r="A14" s="53"/>
      <c r="B14" s="49" t="s">
        <v>61</v>
      </c>
      <c r="C14" s="54"/>
      <c r="D14" s="52"/>
      <c r="E14" s="49"/>
      <c r="F14" s="17">
        <f>D15+D17+D18</f>
        <v>2103800</v>
      </c>
      <c r="G14" s="26"/>
      <c r="H14" s="48"/>
      <c r="I14" s="48"/>
      <c r="K14" s="26"/>
      <c r="L14" s="26"/>
      <c r="M14" s="26"/>
      <c r="N14" s="26"/>
      <c r="O14" s="26"/>
      <c r="P14" s="48"/>
      <c r="Q14" s="48"/>
    </row>
    <row r="15" spans="1:17" x14ac:dyDescent="0.7">
      <c r="A15" s="53"/>
      <c r="B15" s="49" t="s">
        <v>35</v>
      </c>
      <c r="C15" s="54"/>
      <c r="D15" s="54">
        <f>'Credit '!C20</f>
        <v>69000</v>
      </c>
      <c r="E15" s="49"/>
      <c r="G15" s="26"/>
      <c r="H15" s="48"/>
      <c r="I15" s="48"/>
      <c r="K15" s="26"/>
      <c r="L15" s="26"/>
      <c r="M15" s="26"/>
      <c r="N15" s="26"/>
      <c r="O15" s="26"/>
      <c r="P15" s="48"/>
      <c r="Q15" s="48"/>
    </row>
    <row r="16" spans="1:17" x14ac:dyDescent="0.7">
      <c r="A16" s="53"/>
      <c r="B16" s="49" t="s">
        <v>89</v>
      </c>
      <c r="C16" s="54"/>
      <c r="D16" s="54"/>
      <c r="E16" s="49"/>
      <c r="G16" s="26"/>
      <c r="H16" s="48"/>
      <c r="I16" s="48"/>
      <c r="K16" s="26"/>
      <c r="L16" s="26"/>
      <c r="M16" s="26"/>
      <c r="N16" s="26"/>
      <c r="O16" s="26"/>
      <c r="P16" s="48"/>
      <c r="Q16" s="48"/>
    </row>
    <row r="17" spans="1:17" x14ac:dyDescent="0.7">
      <c r="A17" s="53"/>
      <c r="B17" s="49" t="s">
        <v>36</v>
      </c>
      <c r="C17" s="54"/>
      <c r="D17" s="54">
        <f>'Yogut Profit'!U104</f>
        <v>124000</v>
      </c>
      <c r="E17" s="49"/>
      <c r="G17" s="26"/>
      <c r="H17" s="48"/>
      <c r="I17" s="48"/>
      <c r="K17" s="26"/>
      <c r="L17" s="26"/>
      <c r="M17" s="26"/>
      <c r="N17" s="26"/>
      <c r="O17" s="26"/>
      <c r="P17" s="48"/>
      <c r="Q17" s="48"/>
    </row>
    <row r="18" spans="1:17" x14ac:dyDescent="0.7">
      <c r="A18" s="53"/>
      <c r="B18" s="49" t="s">
        <v>37</v>
      </c>
      <c r="C18" s="54"/>
      <c r="D18" s="54">
        <f>'Yogut Profit'!V104</f>
        <v>1910800</v>
      </c>
      <c r="E18" s="49"/>
      <c r="F18" s="16">
        <f>'Yogut Profit'!FV104</f>
        <v>0</v>
      </c>
      <c r="G18" s="26"/>
      <c r="H18" s="48"/>
      <c r="I18" s="48"/>
      <c r="K18" s="26"/>
      <c r="L18" s="26"/>
      <c r="M18" s="26"/>
      <c r="N18" s="26"/>
      <c r="O18" s="26"/>
      <c r="P18" s="48"/>
      <c r="Q18" s="48"/>
    </row>
    <row r="19" spans="1:17" x14ac:dyDescent="0.7">
      <c r="A19" s="53"/>
      <c r="B19" s="49"/>
      <c r="C19" s="54"/>
      <c r="D19" s="54"/>
      <c r="E19" s="49"/>
      <c r="F19" s="17"/>
      <c r="G19" s="26"/>
      <c r="H19" s="48"/>
      <c r="I19" s="48"/>
      <c r="K19" s="26"/>
      <c r="L19" s="26"/>
      <c r="M19" s="26"/>
      <c r="N19" s="26"/>
      <c r="O19" s="26"/>
      <c r="P19" s="48"/>
      <c r="Q19" s="48"/>
    </row>
    <row r="20" spans="1:17" x14ac:dyDescent="0.7">
      <c r="A20" s="53"/>
      <c r="B20" s="49" t="s">
        <v>65</v>
      </c>
      <c r="C20" s="54"/>
      <c r="D20" s="52">
        <f>D21+D22+D23</f>
        <v>1994100</v>
      </c>
      <c r="E20" s="49"/>
      <c r="F20" s="17"/>
      <c r="G20" s="26"/>
      <c r="H20" s="48"/>
      <c r="I20" s="48"/>
      <c r="K20" s="26"/>
      <c r="L20" s="26"/>
      <c r="M20" s="26"/>
      <c r="N20" s="26"/>
      <c r="O20" s="26"/>
      <c r="P20" s="48"/>
      <c r="Q20" s="48"/>
    </row>
    <row r="21" spans="1:17" x14ac:dyDescent="0.7">
      <c r="A21" s="53"/>
      <c r="B21" s="49" t="s">
        <v>10</v>
      </c>
      <c r="C21" s="54"/>
      <c r="D21" s="54">
        <f>'Yogut Profit'!M104</f>
        <v>1304600</v>
      </c>
      <c r="E21" s="49"/>
      <c r="G21" s="26"/>
      <c r="H21" s="48"/>
      <c r="I21" s="48"/>
      <c r="K21" s="26"/>
      <c r="L21" s="26"/>
      <c r="M21" s="26"/>
      <c r="N21" s="26"/>
      <c r="O21" s="26"/>
      <c r="P21" s="48"/>
      <c r="Q21" s="48"/>
    </row>
    <row r="22" spans="1:17" x14ac:dyDescent="0.7">
      <c r="A22" s="53"/>
      <c r="B22" s="49" t="s">
        <v>58</v>
      </c>
      <c r="C22" s="54"/>
      <c r="D22" s="54">
        <f>'Other Expen '!E28</f>
        <v>689500</v>
      </c>
      <c r="E22" s="49"/>
      <c r="G22" s="26"/>
      <c r="H22" s="48"/>
      <c r="I22" s="48"/>
      <c r="K22" s="26"/>
      <c r="L22" s="26"/>
      <c r="M22" s="26"/>
      <c r="N22" s="26"/>
      <c r="O22" s="26"/>
      <c r="P22" s="48"/>
      <c r="Q22" s="48"/>
    </row>
    <row r="23" spans="1:17" x14ac:dyDescent="0.7">
      <c r="A23" s="53"/>
      <c r="B23" s="49" t="s">
        <v>24</v>
      </c>
      <c r="C23" s="54"/>
      <c r="D23" s="54"/>
      <c r="E23" s="49"/>
      <c r="G23" s="26"/>
      <c r="H23" s="48"/>
      <c r="I23" s="48"/>
      <c r="K23" s="26"/>
      <c r="L23" s="26"/>
      <c r="M23" s="26"/>
      <c r="N23" s="26"/>
      <c r="O23" s="26"/>
      <c r="P23" s="48"/>
      <c r="Q23" s="48"/>
    </row>
    <row r="24" spans="1:17" x14ac:dyDescent="0.7">
      <c r="A24" s="53"/>
      <c r="B24" s="49"/>
      <c r="C24" s="54"/>
      <c r="D24" s="54"/>
      <c r="E24" s="49"/>
      <c r="G24" s="26"/>
      <c r="H24" s="48"/>
      <c r="I24" s="48"/>
      <c r="K24" s="26"/>
      <c r="L24" s="26"/>
      <c r="M24" s="26"/>
      <c r="N24" s="26"/>
      <c r="O24" s="26"/>
      <c r="P24" s="48"/>
      <c r="Q24" s="48"/>
    </row>
    <row r="25" spans="1:17" x14ac:dyDescent="0.7">
      <c r="A25" s="53"/>
      <c r="B25" s="49"/>
      <c r="C25" s="54"/>
      <c r="D25" s="54"/>
      <c r="E25" s="49"/>
      <c r="G25" s="26"/>
      <c r="H25" s="48"/>
      <c r="I25" s="48"/>
      <c r="J25" s="16" t="s">
        <v>147</v>
      </c>
      <c r="K25" s="26"/>
      <c r="L25" s="26"/>
      <c r="M25" s="26"/>
      <c r="N25" s="26"/>
      <c r="O25" s="26"/>
      <c r="P25" s="48"/>
      <c r="Q25" s="48"/>
    </row>
    <row r="26" spans="1:17" x14ac:dyDescent="0.7">
      <c r="A26" s="53"/>
      <c r="B26" s="49" t="s">
        <v>34</v>
      </c>
      <c r="C26" s="54"/>
      <c r="D26" s="52">
        <f>+'Yogut Profit'!Y109</f>
        <v>589350</v>
      </c>
      <c r="E26" s="49"/>
      <c r="F26" s="17">
        <f>+'Yogut Profit'!Y109</f>
        <v>589350</v>
      </c>
      <c r="G26" s="26"/>
      <c r="H26" s="48"/>
      <c r="I26" s="48"/>
      <c r="K26" s="26"/>
      <c r="L26" s="26"/>
      <c r="M26" s="26"/>
      <c r="N26" s="26"/>
      <c r="O26" s="26"/>
      <c r="P26" s="48"/>
      <c r="Q26" s="48"/>
    </row>
    <row r="27" spans="1:17" x14ac:dyDescent="0.7">
      <c r="A27" s="53"/>
      <c r="B27" s="49" t="s">
        <v>38</v>
      </c>
      <c r="C27" s="54"/>
      <c r="D27" s="52">
        <f>D20+D26</f>
        <v>2583450</v>
      </c>
      <c r="E27" s="49"/>
      <c r="F27" s="17">
        <f>F14+F26</f>
        <v>2693150</v>
      </c>
      <c r="G27" s="26"/>
      <c r="H27" s="48"/>
      <c r="I27" s="48"/>
      <c r="K27" s="26"/>
      <c r="L27" s="26"/>
      <c r="M27" s="26"/>
      <c r="N27" s="26"/>
      <c r="O27" s="26"/>
      <c r="P27" s="48"/>
      <c r="Q27" s="48"/>
    </row>
    <row r="28" spans="1:17" ht="25.5" thickBot="1" x14ac:dyDescent="0.75">
      <c r="A28" s="53"/>
      <c r="B28" s="49"/>
      <c r="C28" s="54"/>
      <c r="D28" s="52"/>
      <c r="E28" s="49"/>
      <c r="G28" s="26"/>
      <c r="H28" s="48"/>
      <c r="I28" s="48"/>
      <c r="K28" s="26"/>
      <c r="L28" s="26"/>
      <c r="M28" s="26"/>
      <c r="N28" s="26"/>
      <c r="O28" s="26"/>
      <c r="P28" s="48"/>
      <c r="Q28" s="48"/>
    </row>
    <row r="29" spans="1:17" ht="26.25" thickTop="1" thickBot="1" x14ac:dyDescent="0.75">
      <c r="A29" s="53"/>
      <c r="B29" s="49" t="s">
        <v>39</v>
      </c>
      <c r="C29" s="54"/>
      <c r="D29" s="54"/>
      <c r="E29" s="49"/>
      <c r="F29" s="56">
        <f>F27-D27</f>
        <v>109700</v>
      </c>
      <c r="G29" s="26"/>
      <c r="H29" s="26"/>
      <c r="I29" s="26"/>
      <c r="K29" s="26"/>
      <c r="L29" s="26"/>
      <c r="M29" s="26"/>
      <c r="N29" s="26"/>
      <c r="O29" s="26"/>
      <c r="P29" s="48"/>
      <c r="Q29" s="48"/>
    </row>
    <row r="30" spans="1:17" ht="25.5" thickTop="1" x14ac:dyDescent="0.7">
      <c r="A30" s="49"/>
      <c r="B30" s="49"/>
      <c r="C30" s="54"/>
      <c r="D30" s="54"/>
      <c r="E30" s="49"/>
      <c r="G30" s="26"/>
      <c r="H30" s="26"/>
      <c r="I30" s="26"/>
      <c r="K30" s="26"/>
      <c r="L30" s="26"/>
      <c r="M30" s="26"/>
      <c r="N30" s="26"/>
      <c r="O30" s="26"/>
      <c r="P30" s="48"/>
      <c r="Q30" s="48"/>
    </row>
    <row r="31" spans="1:17" x14ac:dyDescent="0.7">
      <c r="A31" s="53"/>
      <c r="B31" s="49"/>
      <c r="C31" s="54"/>
      <c r="D31" s="54"/>
      <c r="E31" s="49"/>
      <c r="G31" s="26"/>
      <c r="H31" s="26"/>
      <c r="I31" s="48"/>
      <c r="K31" s="26"/>
      <c r="L31" s="26"/>
      <c r="M31" s="26"/>
      <c r="N31" s="26"/>
      <c r="O31" s="26"/>
      <c r="P31" s="48"/>
      <c r="Q31" s="48"/>
    </row>
    <row r="32" spans="1:17" x14ac:dyDescent="0.7">
      <c r="A32" s="40"/>
      <c r="B32" s="49"/>
      <c r="C32" s="54"/>
      <c r="D32" s="54"/>
      <c r="E32" s="49"/>
      <c r="G32" s="26"/>
      <c r="H32" s="26"/>
      <c r="I32" s="48"/>
      <c r="K32" s="26"/>
      <c r="L32" s="26"/>
      <c r="M32" s="26"/>
      <c r="N32" s="26"/>
      <c r="O32" s="26"/>
      <c r="P32" s="48"/>
      <c r="Q32" s="48"/>
    </row>
    <row r="33" spans="1:17" x14ac:dyDescent="0.7">
      <c r="A33" s="40"/>
      <c r="C33" s="54"/>
      <c r="D33" s="54"/>
      <c r="E33" s="49"/>
      <c r="G33" s="26"/>
      <c r="H33" s="26"/>
      <c r="I33" s="48"/>
      <c r="K33" s="26"/>
      <c r="L33" s="26"/>
      <c r="M33" s="26"/>
      <c r="N33" s="26"/>
      <c r="O33" s="26"/>
      <c r="P33" s="48"/>
      <c r="Q33" s="48"/>
    </row>
    <row r="34" spans="1:17" x14ac:dyDescent="0.7">
      <c r="A34" s="40"/>
      <c r="C34" s="54"/>
      <c r="D34" s="54"/>
      <c r="E34" s="49"/>
      <c r="G34" s="26"/>
      <c r="H34" s="48"/>
      <c r="I34" s="48"/>
      <c r="K34" s="26"/>
      <c r="L34" s="26"/>
      <c r="M34" s="26"/>
      <c r="N34" s="26"/>
      <c r="O34" s="26"/>
      <c r="P34" s="48"/>
      <c r="Q34" s="48"/>
    </row>
    <row r="35" spans="1:17" x14ac:dyDescent="0.7">
      <c r="A35" s="40"/>
      <c r="B35" s="49"/>
      <c r="C35" s="54"/>
      <c r="D35" s="54"/>
      <c r="E35" s="49"/>
      <c r="G35" s="26"/>
      <c r="H35" s="48"/>
      <c r="I35" s="48"/>
      <c r="K35" s="26"/>
      <c r="L35" s="26"/>
      <c r="M35" s="26"/>
      <c r="N35" s="26"/>
      <c r="O35" s="26"/>
      <c r="P35" s="48"/>
      <c r="Q35" s="48"/>
    </row>
    <row r="36" spans="1:17" x14ac:dyDescent="0.7">
      <c r="A36" s="40"/>
      <c r="B36" s="49"/>
      <c r="C36" s="54"/>
      <c r="D36" s="54"/>
      <c r="E36" s="49"/>
      <c r="G36" s="26"/>
      <c r="H36" s="48"/>
      <c r="I36" s="48"/>
      <c r="K36" s="26"/>
      <c r="L36" s="26"/>
      <c r="M36" s="26"/>
      <c r="N36" s="26"/>
      <c r="O36" s="26"/>
      <c r="P36" s="48"/>
      <c r="Q36" s="48"/>
    </row>
    <row r="37" spans="1:17" x14ac:dyDescent="0.7">
      <c r="A37" s="40"/>
      <c r="B37" s="49"/>
      <c r="C37" s="54"/>
      <c r="D37" s="54"/>
      <c r="E37" s="49"/>
      <c r="G37" s="26"/>
      <c r="H37" s="48"/>
      <c r="I37" s="48"/>
      <c r="K37" s="26"/>
      <c r="L37" s="26"/>
      <c r="M37" s="26"/>
      <c r="N37" s="26"/>
      <c r="O37" s="26"/>
      <c r="P37" s="48"/>
      <c r="Q37" s="48"/>
    </row>
    <row r="38" spans="1:17" x14ac:dyDescent="0.7">
      <c r="A38" s="40"/>
      <c r="B38" s="49"/>
      <c r="C38" s="54"/>
      <c r="D38" s="54"/>
      <c r="E38" s="49"/>
      <c r="G38" s="26"/>
      <c r="H38" s="48"/>
      <c r="I38" s="48"/>
      <c r="K38" s="26"/>
      <c r="L38" s="26"/>
      <c r="M38" s="26"/>
      <c r="N38" s="26"/>
      <c r="O38" s="26"/>
      <c r="P38" s="48"/>
      <c r="Q38" s="48"/>
    </row>
    <row r="39" spans="1:17" x14ac:dyDescent="0.7">
      <c r="A39" s="40"/>
      <c r="B39" s="49"/>
      <c r="C39" s="54"/>
      <c r="D39" s="54"/>
      <c r="E39" s="49"/>
      <c r="G39" s="26"/>
      <c r="H39" s="48"/>
      <c r="I39" s="48"/>
      <c r="K39" s="26"/>
      <c r="L39" s="26"/>
      <c r="M39" s="26"/>
      <c r="N39" s="26"/>
      <c r="O39" s="26"/>
      <c r="P39" s="48"/>
      <c r="Q39" s="48"/>
    </row>
    <row r="40" spans="1:17" x14ac:dyDescent="0.7">
      <c r="E40" s="49"/>
      <c r="G40" s="26"/>
      <c r="H40" s="48"/>
      <c r="I40" s="48"/>
      <c r="K40" s="26"/>
      <c r="L40" s="26"/>
      <c r="M40" s="26"/>
      <c r="N40" s="26"/>
      <c r="O40" s="26"/>
      <c r="P40" s="48"/>
      <c r="Q40" s="48"/>
    </row>
    <row r="41" spans="1:17" x14ac:dyDescent="0.7">
      <c r="G41" s="26"/>
      <c r="H41" s="48"/>
      <c r="I41" s="48"/>
      <c r="K41" s="26"/>
      <c r="L41" s="26"/>
      <c r="M41" s="26"/>
      <c r="N41" s="26"/>
      <c r="O41" s="26"/>
      <c r="P41" s="48"/>
      <c r="Q41" s="48"/>
    </row>
    <row r="42" spans="1:17" x14ac:dyDescent="0.7">
      <c r="G42" s="47"/>
      <c r="H42" s="48"/>
      <c r="I42" s="48"/>
      <c r="K42" s="26"/>
      <c r="L42" s="26"/>
      <c r="M42" s="26"/>
      <c r="N42" s="26"/>
      <c r="O42" s="26"/>
      <c r="P42" s="48"/>
      <c r="Q42" s="48"/>
    </row>
    <row r="43" spans="1:17" x14ac:dyDescent="0.7">
      <c r="B43" s="26" t="s">
        <v>106</v>
      </c>
      <c r="G43" s="47"/>
      <c r="H43" s="48"/>
      <c r="I43" s="48"/>
      <c r="K43" s="26"/>
      <c r="L43" s="26"/>
      <c r="M43" s="26"/>
      <c r="N43" s="26"/>
      <c r="O43" s="26"/>
      <c r="P43" s="48"/>
      <c r="Q43" s="48"/>
    </row>
    <row r="44" spans="1:17" x14ac:dyDescent="0.7">
      <c r="G44" s="47"/>
      <c r="H44" s="48"/>
      <c r="I44" s="48"/>
      <c r="K44" s="26"/>
      <c r="L44" s="26"/>
      <c r="M44" s="26"/>
      <c r="N44" s="26"/>
      <c r="O44" s="26"/>
      <c r="P44" s="48"/>
      <c r="Q44" s="48"/>
    </row>
    <row r="45" spans="1:17" x14ac:dyDescent="0.7">
      <c r="G45" s="47"/>
      <c r="H45" s="48"/>
      <c r="I45" s="48"/>
      <c r="K45" s="26"/>
      <c r="L45" s="26"/>
      <c r="M45" s="26"/>
      <c r="N45" s="26"/>
      <c r="O45" s="26"/>
      <c r="P45" s="48"/>
      <c r="Q45" s="48"/>
    </row>
    <row r="46" spans="1:17" x14ac:dyDescent="0.7">
      <c r="G46" s="47"/>
      <c r="H46" s="48"/>
      <c r="I46" s="48"/>
      <c r="K46" s="26"/>
      <c r="L46" s="26"/>
      <c r="M46" s="26"/>
      <c r="N46" s="26"/>
      <c r="O46" s="26"/>
      <c r="P46" s="48"/>
      <c r="Q46" s="48"/>
    </row>
    <row r="47" spans="1:17" x14ac:dyDescent="0.7">
      <c r="G47" s="47"/>
      <c r="H47" s="48"/>
      <c r="I47" s="48"/>
      <c r="K47" s="26"/>
      <c r="L47" s="26"/>
      <c r="M47" s="26"/>
      <c r="N47" s="26"/>
      <c r="O47" s="26"/>
      <c r="P47" s="48"/>
      <c r="Q47" s="48"/>
    </row>
    <row r="48" spans="1:17" x14ac:dyDescent="0.7">
      <c r="G48" s="26"/>
      <c r="H48" s="48"/>
      <c r="I48" s="48"/>
      <c r="K48" s="26"/>
      <c r="L48" s="26"/>
      <c r="M48" s="26"/>
      <c r="N48" s="26"/>
      <c r="O48" s="26"/>
      <c r="P48" s="48"/>
      <c r="Q48" s="48"/>
    </row>
    <row r="49" spans="1:17" x14ac:dyDescent="0.7">
      <c r="G49" s="26"/>
      <c r="H49" s="48"/>
      <c r="I49" s="48"/>
      <c r="K49" s="26"/>
      <c r="L49" s="26"/>
      <c r="M49" s="26"/>
      <c r="N49" s="26"/>
      <c r="O49" s="26"/>
      <c r="P49" s="48"/>
      <c r="Q49" s="48"/>
    </row>
    <row r="50" spans="1:17" x14ac:dyDescent="0.7">
      <c r="G50" s="26"/>
      <c r="H50" s="26"/>
      <c r="I50" s="48"/>
      <c r="K50" s="26"/>
      <c r="L50" s="26"/>
      <c r="M50" s="26"/>
      <c r="N50" s="26"/>
      <c r="O50" s="26"/>
      <c r="P50" s="48"/>
      <c r="Q50" s="48"/>
    </row>
    <row r="51" spans="1:17" x14ac:dyDescent="0.7">
      <c r="G51" s="26"/>
      <c r="H51" s="48"/>
      <c r="I51" s="48"/>
      <c r="K51" s="26"/>
      <c r="L51" s="26"/>
      <c r="M51" s="26"/>
      <c r="N51" s="26"/>
      <c r="O51" s="26"/>
      <c r="P51" s="48"/>
      <c r="Q51" s="48"/>
    </row>
    <row r="52" spans="1:17" x14ac:dyDescent="0.7">
      <c r="G52" s="26"/>
      <c r="H52" s="48"/>
      <c r="I52" s="48"/>
      <c r="K52" s="26"/>
      <c r="L52" s="26"/>
      <c r="M52" s="26"/>
      <c r="N52" s="26"/>
      <c r="O52" s="26"/>
      <c r="P52" s="48"/>
      <c r="Q52" s="48"/>
    </row>
    <row r="53" spans="1:17" x14ac:dyDescent="0.7">
      <c r="G53" s="26"/>
      <c r="H53" s="48"/>
      <c r="I53" s="48"/>
      <c r="K53" s="26"/>
      <c r="L53" s="26"/>
      <c r="M53" s="26"/>
      <c r="N53" s="26"/>
      <c r="O53" s="26"/>
      <c r="P53" s="48"/>
      <c r="Q53" s="48"/>
    </row>
    <row r="54" spans="1:17" x14ac:dyDescent="0.7">
      <c r="G54" s="26"/>
      <c r="H54" s="48"/>
      <c r="I54" s="48"/>
      <c r="K54" s="26"/>
      <c r="L54" s="26"/>
      <c r="M54" s="26"/>
      <c r="N54" s="26"/>
      <c r="O54" s="26"/>
      <c r="P54" s="48"/>
      <c r="Q54" s="48"/>
    </row>
    <row r="55" spans="1:17" x14ac:dyDescent="0.7">
      <c r="G55" s="26"/>
      <c r="H55" s="48"/>
      <c r="I55" s="48"/>
      <c r="K55" s="26"/>
      <c r="L55" s="26"/>
      <c r="M55" s="26"/>
      <c r="N55" s="26"/>
      <c r="O55" s="26"/>
      <c r="P55" s="48"/>
      <c r="Q55" s="48"/>
    </row>
    <row r="56" spans="1:17" x14ac:dyDescent="0.7">
      <c r="G56" s="26"/>
      <c r="H56" s="48"/>
      <c r="I56" s="48"/>
      <c r="K56" s="26"/>
      <c r="L56" s="26"/>
      <c r="M56" s="26"/>
      <c r="N56" s="26"/>
      <c r="O56" s="26"/>
      <c r="P56" s="48"/>
      <c r="Q56" s="48"/>
    </row>
    <row r="57" spans="1:17" x14ac:dyDescent="0.7">
      <c r="G57" s="26"/>
      <c r="H57" s="48"/>
      <c r="I57" s="48"/>
      <c r="K57" s="26"/>
      <c r="L57" s="26"/>
      <c r="M57" s="26"/>
      <c r="N57" s="26"/>
      <c r="O57" s="26"/>
      <c r="P57" s="48"/>
      <c r="Q57" s="48"/>
    </row>
    <row r="58" spans="1:17" x14ac:dyDescent="0.7">
      <c r="G58" s="26"/>
      <c r="H58" s="48"/>
      <c r="I58" s="48"/>
      <c r="K58" s="26"/>
      <c r="L58" s="26"/>
      <c r="M58" s="26"/>
      <c r="N58" s="26"/>
      <c r="O58" s="26"/>
      <c r="P58" s="48"/>
      <c r="Q58" s="48"/>
    </row>
    <row r="59" spans="1:17" x14ac:dyDescent="0.7">
      <c r="G59" s="26"/>
      <c r="H59" s="48"/>
      <c r="I59" s="48"/>
      <c r="K59" s="26"/>
      <c r="L59" s="26"/>
      <c r="M59" s="26"/>
      <c r="N59" s="26"/>
      <c r="O59" s="26"/>
      <c r="P59" s="48"/>
      <c r="Q59" s="48"/>
    </row>
    <row r="60" spans="1:17" x14ac:dyDescent="0.7">
      <c r="G60" s="26"/>
      <c r="H60" s="48"/>
      <c r="I60" s="48"/>
      <c r="K60" s="26"/>
      <c r="L60" s="26"/>
      <c r="M60" s="26"/>
      <c r="N60" s="26"/>
      <c r="O60" s="26"/>
      <c r="P60" s="48"/>
      <c r="Q60" s="48"/>
    </row>
    <row r="61" spans="1:17" x14ac:dyDescent="0.7">
      <c r="G61" s="26"/>
      <c r="H61" s="48"/>
      <c r="I61" s="48"/>
      <c r="K61" s="26"/>
      <c r="L61" s="26"/>
      <c r="M61" s="26"/>
      <c r="N61" s="26"/>
      <c r="O61" s="26"/>
      <c r="P61" s="48"/>
      <c r="Q61" s="48"/>
    </row>
    <row r="62" spans="1:17" s="26" customFormat="1" x14ac:dyDescent="0.7">
      <c r="A62" s="16"/>
    </row>
    <row r="66" spans="1:1" s="26" customFormat="1" x14ac:dyDescent="0.7">
      <c r="A66" s="16"/>
    </row>
    <row r="69" spans="1:1" s="26" customFormat="1" x14ac:dyDescent="0.7">
      <c r="A69" s="16"/>
    </row>
    <row r="70" spans="1:1" s="26" customFormat="1" x14ac:dyDescent="0.7">
      <c r="A70" s="1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62"/>
  <sheetViews>
    <sheetView showZeros="0" workbookViewId="0">
      <selection activeCell="O18" sqref="O18"/>
    </sheetView>
  </sheetViews>
  <sheetFormatPr defaultRowHeight="24.75" x14ac:dyDescent="0.7"/>
  <cols>
    <col min="1" max="1" width="5.7109375" style="16" customWidth="1"/>
    <col min="2" max="2" width="24.42578125" style="26" customWidth="1"/>
    <col min="3" max="3" width="13.5703125" style="26" customWidth="1"/>
    <col min="4" max="4" width="11.42578125" style="26" customWidth="1"/>
    <col min="5" max="5" width="15" style="16" customWidth="1"/>
    <col min="6" max="6" width="20.85546875" style="16" customWidth="1"/>
    <col min="7" max="7" width="10.140625" style="16" customWidth="1"/>
    <col min="8" max="8" width="16.5703125" style="16" customWidth="1"/>
    <col min="9" max="14" width="9.140625" style="16"/>
    <col min="15" max="15" width="10.85546875" style="16" customWidth="1"/>
    <col min="16" max="16" width="21.28515625" style="16" customWidth="1"/>
    <col min="17" max="16384" width="9.140625" style="16"/>
  </cols>
  <sheetData>
    <row r="3" spans="1:16" x14ac:dyDescent="0.7">
      <c r="A3" s="17"/>
      <c r="C3" s="48"/>
    </row>
    <row r="4" spans="1:16" x14ac:dyDescent="0.7">
      <c r="A4" s="40"/>
      <c r="B4" s="49"/>
      <c r="C4" s="49"/>
      <c r="D4" s="49"/>
      <c r="F4" s="26"/>
      <c r="G4" s="48"/>
      <c r="H4" s="48"/>
      <c r="J4" s="26"/>
      <c r="K4" s="26"/>
      <c r="L4" s="26"/>
      <c r="M4" s="26"/>
      <c r="N4" s="26"/>
      <c r="O4" s="48"/>
      <c r="P4" s="48"/>
    </row>
    <row r="5" spans="1:16" x14ac:dyDescent="0.7">
      <c r="A5" s="41"/>
      <c r="B5" s="50" t="s">
        <v>101</v>
      </c>
      <c r="C5" s="52"/>
      <c r="D5" s="51"/>
      <c r="E5" s="17">
        <v>26500000</v>
      </c>
      <c r="F5" s="26"/>
      <c r="G5" s="48"/>
      <c r="H5" s="48"/>
      <c r="J5" s="26"/>
      <c r="K5" s="26"/>
      <c r="L5" s="26"/>
      <c r="M5" s="26"/>
      <c r="N5" s="26"/>
      <c r="O5" s="48"/>
      <c r="P5" s="48"/>
    </row>
    <row r="6" spans="1:16" x14ac:dyDescent="0.7">
      <c r="A6" s="53"/>
      <c r="B6" s="49"/>
      <c r="C6" s="55"/>
      <c r="D6" s="49"/>
      <c r="F6" s="26"/>
      <c r="G6" s="48"/>
      <c r="H6" s="48"/>
      <c r="J6" s="26"/>
      <c r="K6" s="26"/>
      <c r="L6" s="26"/>
      <c r="M6" s="26"/>
      <c r="N6" s="26"/>
      <c r="O6" s="48"/>
      <c r="P6" s="48"/>
    </row>
    <row r="7" spans="1:16" x14ac:dyDescent="0.7">
      <c r="A7" s="40"/>
      <c r="B7" s="51" t="s">
        <v>93</v>
      </c>
      <c r="C7" s="52" t="s">
        <v>95</v>
      </c>
      <c r="D7" s="51" t="s">
        <v>12</v>
      </c>
      <c r="E7" s="68" t="s">
        <v>96</v>
      </c>
      <c r="F7" s="26"/>
      <c r="G7" s="48"/>
      <c r="H7" s="48"/>
      <c r="J7" s="26"/>
      <c r="K7" s="26"/>
      <c r="L7" s="26"/>
      <c r="M7" s="26"/>
      <c r="N7" s="26"/>
      <c r="O7" s="48"/>
      <c r="P7" s="48"/>
    </row>
    <row r="8" spans="1:16" x14ac:dyDescent="0.7">
      <c r="A8" s="40"/>
      <c r="B8" s="49" t="s">
        <v>94</v>
      </c>
      <c r="C8" s="54">
        <v>2150</v>
      </c>
      <c r="D8" s="49">
        <v>5000</v>
      </c>
      <c r="E8" s="16">
        <f>C8*D8</f>
        <v>10750000</v>
      </c>
      <c r="F8" s="26"/>
      <c r="G8" s="48"/>
      <c r="H8" s="48"/>
      <c r="J8" s="26"/>
      <c r="K8" s="26"/>
      <c r="L8" s="26"/>
      <c r="M8" s="26"/>
      <c r="N8" s="26"/>
      <c r="O8" s="48"/>
      <c r="P8" s="48"/>
    </row>
    <row r="9" spans="1:16" x14ac:dyDescent="0.7">
      <c r="A9" s="40"/>
      <c r="B9" s="49" t="s">
        <v>86</v>
      </c>
      <c r="C9" s="54">
        <f>C8*0.15</f>
        <v>322.5</v>
      </c>
      <c r="D9" s="49">
        <v>4800</v>
      </c>
      <c r="E9" s="16">
        <f>C9*D9</f>
        <v>1548000</v>
      </c>
      <c r="F9" s="26"/>
      <c r="G9" s="48"/>
      <c r="H9" s="48"/>
      <c r="J9" s="26"/>
      <c r="K9" s="26"/>
      <c r="L9" s="26"/>
      <c r="M9" s="26"/>
      <c r="N9" s="26"/>
      <c r="O9" s="48"/>
      <c r="P9" s="48"/>
    </row>
    <row r="10" spans="1:16" x14ac:dyDescent="0.7">
      <c r="A10" s="40"/>
      <c r="B10" s="49" t="s">
        <v>97</v>
      </c>
      <c r="C10" s="54" t="s">
        <v>98</v>
      </c>
      <c r="D10" s="49">
        <v>15000</v>
      </c>
      <c r="E10" s="16">
        <f>12*25000</f>
        <v>300000</v>
      </c>
      <c r="F10" s="26"/>
      <c r="G10" s="48"/>
      <c r="H10" s="48"/>
      <c r="J10" s="26"/>
      <c r="K10" s="26"/>
      <c r="L10" s="26"/>
      <c r="M10" s="26"/>
      <c r="N10" s="26"/>
      <c r="O10" s="48"/>
      <c r="P10" s="48"/>
    </row>
    <row r="11" spans="1:16" x14ac:dyDescent="0.7">
      <c r="A11" s="53"/>
      <c r="B11" s="49" t="s">
        <v>99</v>
      </c>
      <c r="C11" s="54" t="s">
        <v>100</v>
      </c>
      <c r="D11" s="49">
        <v>100000</v>
      </c>
      <c r="E11" s="16">
        <f>D11*5*12</f>
        <v>6000000</v>
      </c>
      <c r="F11" s="26"/>
      <c r="G11" s="48"/>
      <c r="H11" s="48"/>
      <c r="J11" s="26"/>
      <c r="K11" s="26"/>
      <c r="L11" s="26"/>
      <c r="M11" s="26"/>
      <c r="N11" s="26"/>
      <c r="O11" s="48"/>
      <c r="P11" s="48"/>
    </row>
    <row r="12" spans="1:16" x14ac:dyDescent="0.7">
      <c r="A12" s="53"/>
      <c r="B12" s="49" t="s">
        <v>62</v>
      </c>
      <c r="C12" s="54" t="s">
        <v>98</v>
      </c>
      <c r="D12" s="49">
        <v>300000</v>
      </c>
      <c r="E12" s="16">
        <f>300000*12</f>
        <v>3600000</v>
      </c>
      <c r="F12" s="26"/>
      <c r="G12" s="48"/>
      <c r="H12" s="48"/>
      <c r="J12" s="26"/>
      <c r="K12" s="26"/>
      <c r="L12" s="26"/>
      <c r="M12" s="26"/>
      <c r="N12" s="26"/>
      <c r="O12" s="48"/>
      <c r="P12" s="48"/>
    </row>
    <row r="13" spans="1:16" x14ac:dyDescent="0.7">
      <c r="A13" s="53"/>
      <c r="B13" s="49"/>
      <c r="C13" s="54"/>
      <c r="D13" s="49"/>
      <c r="F13" s="26"/>
      <c r="G13" s="48"/>
      <c r="H13" s="48"/>
      <c r="J13" s="26"/>
      <c r="K13" s="26"/>
      <c r="L13" s="26"/>
      <c r="M13" s="26"/>
      <c r="N13" s="26"/>
      <c r="O13" s="48"/>
      <c r="P13" s="48"/>
    </row>
    <row r="14" spans="1:16" x14ac:dyDescent="0.7">
      <c r="A14" s="53"/>
      <c r="B14" s="51" t="s">
        <v>54</v>
      </c>
      <c r="C14" s="52"/>
      <c r="D14" s="49"/>
      <c r="E14" s="17">
        <f>SUM(E8:E12)</f>
        <v>22198000</v>
      </c>
      <c r="F14" s="26"/>
      <c r="G14" s="48"/>
      <c r="H14" s="48"/>
      <c r="J14" s="26"/>
      <c r="K14" s="26"/>
      <c r="L14" s="26"/>
      <c r="M14" s="26"/>
      <c r="N14" s="26"/>
      <c r="O14" s="48"/>
      <c r="P14" s="48"/>
    </row>
    <row r="15" spans="1:16" x14ac:dyDescent="0.7">
      <c r="A15" s="53"/>
      <c r="B15" s="51" t="s">
        <v>39</v>
      </c>
      <c r="C15" s="54"/>
      <c r="D15" s="49"/>
      <c r="E15" s="17">
        <f>E5-E14</f>
        <v>4302000</v>
      </c>
      <c r="F15" s="26"/>
      <c r="G15" s="48"/>
      <c r="H15" s="48"/>
      <c r="J15" s="26"/>
      <c r="K15" s="26"/>
      <c r="L15" s="26"/>
      <c r="M15" s="26"/>
      <c r="N15" s="26"/>
      <c r="O15" s="48"/>
      <c r="P15" s="48"/>
    </row>
    <row r="16" spans="1:16" x14ac:dyDescent="0.7">
      <c r="A16" s="53"/>
      <c r="B16" s="49"/>
      <c r="C16" s="54"/>
      <c r="D16" s="49"/>
      <c r="F16" s="26"/>
      <c r="G16" s="48"/>
      <c r="H16" s="48"/>
      <c r="J16" s="26"/>
      <c r="K16" s="26"/>
      <c r="L16" s="26"/>
      <c r="M16" s="26"/>
      <c r="N16" s="26"/>
      <c r="O16" s="48"/>
      <c r="P16" s="48"/>
    </row>
    <row r="17" spans="1:16" x14ac:dyDescent="0.7">
      <c r="A17" s="53"/>
      <c r="B17" s="51" t="s">
        <v>102</v>
      </c>
      <c r="C17" s="54" t="s">
        <v>2</v>
      </c>
      <c r="D17" s="51" t="s">
        <v>12</v>
      </c>
      <c r="E17" s="68" t="s">
        <v>96</v>
      </c>
      <c r="F17" s="26"/>
      <c r="G17" s="48"/>
      <c r="H17" s="48"/>
      <c r="J17" s="26"/>
      <c r="K17" s="26"/>
      <c r="L17" s="26"/>
      <c r="M17" s="26"/>
      <c r="N17" s="26"/>
      <c r="O17" s="48"/>
      <c r="P17" s="48"/>
    </row>
    <row r="18" spans="1:16" x14ac:dyDescent="0.7">
      <c r="A18" s="53"/>
      <c r="B18" s="49" t="s">
        <v>103</v>
      </c>
      <c r="C18" s="54">
        <v>12850</v>
      </c>
      <c r="D18" s="49">
        <v>1800</v>
      </c>
      <c r="E18" s="16">
        <f>C18*D18</f>
        <v>23130000</v>
      </c>
      <c r="F18" s="26"/>
      <c r="G18" s="48"/>
      <c r="H18" s="48"/>
      <c r="J18" s="26"/>
      <c r="K18" s="26"/>
      <c r="L18" s="26"/>
      <c r="M18" s="26"/>
      <c r="N18" s="26"/>
      <c r="O18" s="48"/>
      <c r="P18" s="48"/>
    </row>
    <row r="19" spans="1:16" x14ac:dyDescent="0.7">
      <c r="A19" s="53"/>
      <c r="B19" s="49" t="s">
        <v>60</v>
      </c>
      <c r="C19" s="54">
        <v>520</v>
      </c>
      <c r="D19" s="49">
        <v>6500</v>
      </c>
      <c r="E19" s="16">
        <f>C19*D19</f>
        <v>3380000</v>
      </c>
      <c r="F19" s="26"/>
      <c r="G19" s="48"/>
      <c r="H19" s="48"/>
      <c r="J19" s="26"/>
      <c r="K19" s="26"/>
      <c r="L19" s="26"/>
      <c r="M19" s="26"/>
      <c r="N19" s="26"/>
      <c r="O19" s="48"/>
      <c r="P19" s="48"/>
    </row>
    <row r="20" spans="1:16" ht="25.5" thickBot="1" x14ac:dyDescent="0.75">
      <c r="A20" s="53"/>
      <c r="B20" s="49"/>
      <c r="C20" s="52"/>
      <c r="D20" s="49"/>
      <c r="E20" s="17"/>
      <c r="F20" s="26"/>
      <c r="G20" s="48"/>
      <c r="H20" s="48"/>
      <c r="J20" s="26"/>
      <c r="K20" s="26"/>
      <c r="L20" s="26"/>
      <c r="M20" s="26"/>
      <c r="N20" s="26"/>
      <c r="O20" s="48"/>
      <c r="P20" s="48"/>
    </row>
    <row r="21" spans="1:16" ht="26.25" thickTop="1" thickBot="1" x14ac:dyDescent="0.75">
      <c r="A21" s="53"/>
      <c r="B21" s="49"/>
      <c r="C21" s="54"/>
      <c r="D21" s="49"/>
      <c r="E21" s="56">
        <f>E18+E19</f>
        <v>26510000</v>
      </c>
      <c r="F21" s="26"/>
      <c r="G21" s="26"/>
      <c r="H21" s="26"/>
      <c r="J21" s="26"/>
      <c r="K21" s="26"/>
      <c r="L21" s="26"/>
      <c r="M21" s="26"/>
      <c r="N21" s="26"/>
      <c r="O21" s="48"/>
      <c r="P21" s="48"/>
    </row>
    <row r="22" spans="1:16" ht="25.5" thickTop="1" x14ac:dyDescent="0.7">
      <c r="A22" s="49"/>
      <c r="B22" s="49"/>
      <c r="C22" s="54"/>
      <c r="D22" s="49"/>
      <c r="F22" s="26"/>
      <c r="G22" s="26"/>
      <c r="H22" s="26"/>
      <c r="J22" s="26"/>
      <c r="K22" s="26"/>
      <c r="L22" s="26"/>
      <c r="M22" s="26"/>
      <c r="N22" s="26"/>
      <c r="O22" s="48"/>
      <c r="P22" s="48"/>
    </row>
    <row r="23" spans="1:16" x14ac:dyDescent="0.7">
      <c r="A23" s="53"/>
      <c r="B23" s="49"/>
      <c r="C23" s="54"/>
      <c r="D23" s="49"/>
      <c r="F23" s="26" t="s">
        <v>104</v>
      </c>
      <c r="G23" s="26"/>
      <c r="H23" s="48"/>
      <c r="J23" s="26"/>
      <c r="K23" s="26"/>
      <c r="L23" s="26"/>
      <c r="M23" s="26"/>
      <c r="N23" s="26"/>
      <c r="O23" s="48"/>
      <c r="P23" s="48"/>
    </row>
    <row r="24" spans="1:16" x14ac:dyDescent="0.7">
      <c r="A24" s="40"/>
      <c r="B24" s="49"/>
      <c r="C24" s="54"/>
      <c r="D24" s="49"/>
      <c r="F24" s="26"/>
      <c r="G24" s="26"/>
      <c r="H24" s="48"/>
      <c r="J24" s="26"/>
      <c r="K24" s="26"/>
      <c r="L24" s="26"/>
      <c r="M24" s="26"/>
      <c r="N24" s="26"/>
      <c r="O24" s="48"/>
      <c r="P24" s="48"/>
    </row>
    <row r="25" spans="1:16" x14ac:dyDescent="0.7">
      <c r="A25" s="40"/>
      <c r="C25" s="54"/>
      <c r="D25" s="49"/>
      <c r="F25" s="26"/>
      <c r="G25" s="26"/>
      <c r="H25" s="48"/>
      <c r="J25" s="26"/>
      <c r="K25" s="26"/>
      <c r="L25" s="26"/>
      <c r="M25" s="26"/>
      <c r="N25" s="26"/>
      <c r="O25" s="48"/>
      <c r="P25" s="48"/>
    </row>
    <row r="26" spans="1:16" x14ac:dyDescent="0.7">
      <c r="A26" s="40"/>
      <c r="B26" s="49"/>
      <c r="C26" s="54"/>
      <c r="D26" s="49"/>
      <c r="F26" s="26"/>
      <c r="G26" s="48"/>
      <c r="H26" s="48"/>
      <c r="J26" s="26"/>
      <c r="K26" s="26"/>
      <c r="L26" s="26"/>
      <c r="M26" s="26"/>
      <c r="N26" s="26"/>
      <c r="O26" s="48"/>
      <c r="P26" s="48"/>
    </row>
    <row r="27" spans="1:16" x14ac:dyDescent="0.7">
      <c r="A27" s="40"/>
      <c r="B27" s="49"/>
      <c r="C27" s="54"/>
      <c r="D27" s="49"/>
      <c r="F27" s="26"/>
      <c r="G27" s="48"/>
      <c r="H27" s="48"/>
      <c r="J27" s="26"/>
      <c r="K27" s="26"/>
      <c r="L27" s="26"/>
      <c r="M27" s="26"/>
      <c r="N27" s="26"/>
      <c r="O27" s="48"/>
      <c r="P27" s="48"/>
    </row>
    <row r="28" spans="1:16" x14ac:dyDescent="0.7">
      <c r="A28" s="40"/>
      <c r="B28" s="49"/>
      <c r="C28" s="54"/>
      <c r="D28" s="49"/>
      <c r="F28" s="26"/>
      <c r="G28" s="48"/>
      <c r="H28" s="48"/>
      <c r="J28" s="26"/>
      <c r="K28" s="26"/>
      <c r="L28" s="26"/>
      <c r="M28" s="26"/>
      <c r="N28" s="26"/>
      <c r="O28" s="48"/>
      <c r="P28" s="48"/>
    </row>
    <row r="29" spans="1:16" x14ac:dyDescent="0.7">
      <c r="A29" s="40"/>
      <c r="B29" s="49"/>
      <c r="C29" s="54"/>
      <c r="D29" s="49"/>
      <c r="F29" s="26"/>
      <c r="G29" s="48"/>
      <c r="H29" s="48"/>
      <c r="J29" s="26"/>
      <c r="K29" s="26"/>
      <c r="L29" s="26"/>
      <c r="M29" s="26"/>
      <c r="N29" s="26"/>
      <c r="O29" s="48"/>
      <c r="P29" s="48"/>
    </row>
    <row r="30" spans="1:16" x14ac:dyDescent="0.7">
      <c r="A30" s="40"/>
      <c r="B30" s="49"/>
      <c r="C30" s="54"/>
      <c r="D30" s="49"/>
      <c r="F30" s="26"/>
      <c r="G30" s="48"/>
      <c r="H30" s="48"/>
      <c r="J30" s="26"/>
      <c r="K30" s="26"/>
      <c r="L30" s="26"/>
      <c r="M30" s="26"/>
      <c r="N30" s="26"/>
      <c r="O30" s="48"/>
      <c r="P30" s="48"/>
    </row>
    <row r="31" spans="1:16" x14ac:dyDescent="0.7">
      <c r="A31" s="40"/>
      <c r="B31" s="49"/>
      <c r="C31" s="54"/>
      <c r="D31" s="49"/>
      <c r="F31" s="26"/>
      <c r="G31" s="48"/>
      <c r="H31" s="48"/>
      <c r="J31" s="26"/>
      <c r="K31" s="26"/>
      <c r="L31" s="26"/>
      <c r="M31" s="26"/>
      <c r="N31" s="26"/>
      <c r="O31" s="48"/>
      <c r="P31" s="48"/>
    </row>
    <row r="32" spans="1:16" x14ac:dyDescent="0.7">
      <c r="D32" s="49"/>
      <c r="F32" s="26"/>
      <c r="G32" s="48"/>
      <c r="H32" s="48"/>
      <c r="J32" s="26"/>
      <c r="K32" s="26"/>
      <c r="L32" s="26"/>
      <c r="M32" s="26"/>
      <c r="N32" s="26"/>
      <c r="O32" s="48"/>
      <c r="P32" s="48"/>
    </row>
    <row r="33" spans="6:16" x14ac:dyDescent="0.7">
      <c r="F33" s="26"/>
      <c r="G33" s="48"/>
      <c r="H33" s="48"/>
      <c r="J33" s="26"/>
      <c r="K33" s="26"/>
      <c r="L33" s="26"/>
      <c r="M33" s="26"/>
      <c r="N33" s="26"/>
      <c r="O33" s="48"/>
      <c r="P33" s="48"/>
    </row>
    <row r="34" spans="6:16" x14ac:dyDescent="0.7">
      <c r="F34" s="47"/>
      <c r="G34" s="48"/>
      <c r="H34" s="48"/>
      <c r="J34" s="26"/>
      <c r="K34" s="26"/>
      <c r="L34" s="26"/>
      <c r="M34" s="26"/>
      <c r="N34" s="26"/>
      <c r="O34" s="48"/>
      <c r="P34" s="48"/>
    </row>
    <row r="35" spans="6:16" x14ac:dyDescent="0.7">
      <c r="F35" s="47"/>
      <c r="G35" s="48"/>
      <c r="H35" s="48"/>
      <c r="J35" s="26"/>
      <c r="K35" s="26"/>
      <c r="L35" s="26"/>
      <c r="M35" s="26"/>
      <c r="N35" s="26"/>
      <c r="O35" s="48"/>
      <c r="P35" s="48"/>
    </row>
    <row r="36" spans="6:16" x14ac:dyDescent="0.7">
      <c r="F36" s="47"/>
      <c r="G36" s="48"/>
      <c r="H36" s="48"/>
      <c r="J36" s="26"/>
      <c r="K36" s="26"/>
      <c r="L36" s="26"/>
      <c r="M36" s="26"/>
      <c r="N36" s="26"/>
      <c r="O36" s="48"/>
      <c r="P36" s="48"/>
    </row>
    <row r="37" spans="6:16" x14ac:dyDescent="0.7">
      <c r="F37" s="47"/>
      <c r="G37" s="48"/>
      <c r="H37" s="48"/>
      <c r="J37" s="26"/>
      <c r="K37" s="26"/>
      <c r="L37" s="26"/>
      <c r="M37" s="26"/>
      <c r="N37" s="26"/>
      <c r="O37" s="48"/>
      <c r="P37" s="48"/>
    </row>
    <row r="38" spans="6:16" x14ac:dyDescent="0.7">
      <c r="F38" s="47"/>
      <c r="G38" s="48"/>
      <c r="H38" s="48"/>
      <c r="J38" s="26"/>
      <c r="K38" s="26"/>
      <c r="L38" s="26"/>
      <c r="M38" s="26"/>
      <c r="N38" s="26"/>
      <c r="O38" s="48"/>
      <c r="P38" s="48"/>
    </row>
    <row r="39" spans="6:16" x14ac:dyDescent="0.7">
      <c r="F39" s="47"/>
      <c r="G39" s="48"/>
      <c r="H39" s="48"/>
      <c r="J39" s="26"/>
      <c r="K39" s="26"/>
      <c r="L39" s="26"/>
      <c r="M39" s="26"/>
      <c r="N39" s="26"/>
      <c r="O39" s="48"/>
      <c r="P39" s="48"/>
    </row>
    <row r="40" spans="6:16" x14ac:dyDescent="0.7">
      <c r="F40" s="26"/>
      <c r="G40" s="48"/>
      <c r="H40" s="48"/>
      <c r="J40" s="26"/>
      <c r="K40" s="26"/>
      <c r="L40" s="26"/>
      <c r="M40" s="26"/>
      <c r="N40" s="26"/>
      <c r="O40" s="48"/>
      <c r="P40" s="48"/>
    </row>
    <row r="41" spans="6:16" x14ac:dyDescent="0.7">
      <c r="F41" s="26"/>
      <c r="G41" s="48"/>
      <c r="H41" s="48"/>
      <c r="J41" s="26"/>
      <c r="K41" s="26"/>
      <c r="L41" s="26"/>
      <c r="M41" s="26"/>
      <c r="N41" s="26"/>
      <c r="O41" s="48"/>
      <c r="P41" s="48"/>
    </row>
    <row r="42" spans="6:16" x14ac:dyDescent="0.7">
      <c r="F42" s="26"/>
      <c r="G42" s="26"/>
      <c r="H42" s="48"/>
      <c r="J42" s="26"/>
      <c r="K42" s="26"/>
      <c r="L42" s="26"/>
      <c r="M42" s="26"/>
      <c r="N42" s="26"/>
      <c r="O42" s="48"/>
      <c r="P42" s="48"/>
    </row>
    <row r="43" spans="6:16" x14ac:dyDescent="0.7">
      <c r="F43" s="26"/>
      <c r="G43" s="48"/>
      <c r="H43" s="48"/>
      <c r="J43" s="26"/>
      <c r="K43" s="26"/>
      <c r="L43" s="26"/>
      <c r="M43" s="26"/>
      <c r="N43" s="26"/>
      <c r="O43" s="48"/>
      <c r="P43" s="48"/>
    </row>
    <row r="44" spans="6:16" x14ac:dyDescent="0.7">
      <c r="F44" s="26"/>
      <c r="G44" s="48"/>
      <c r="H44" s="48"/>
      <c r="J44" s="26"/>
      <c r="K44" s="26"/>
      <c r="L44" s="26"/>
      <c r="M44" s="26"/>
      <c r="N44" s="26"/>
      <c r="O44" s="48"/>
      <c r="P44" s="48"/>
    </row>
    <row r="45" spans="6:16" x14ac:dyDescent="0.7">
      <c r="F45" s="26"/>
      <c r="G45" s="48"/>
      <c r="H45" s="48"/>
      <c r="J45" s="26"/>
      <c r="K45" s="26"/>
      <c r="L45" s="26"/>
      <c r="M45" s="26"/>
      <c r="N45" s="26"/>
      <c r="O45" s="48"/>
      <c r="P45" s="48"/>
    </row>
    <row r="46" spans="6:16" x14ac:dyDescent="0.7">
      <c r="F46" s="26"/>
      <c r="G46" s="48"/>
      <c r="H46" s="48"/>
      <c r="J46" s="26"/>
      <c r="K46" s="26"/>
      <c r="L46" s="26"/>
      <c r="M46" s="26"/>
      <c r="N46" s="26"/>
      <c r="O46" s="48"/>
      <c r="P46" s="48"/>
    </row>
    <row r="47" spans="6:16" x14ac:dyDescent="0.7">
      <c r="F47" s="26"/>
      <c r="G47" s="48"/>
      <c r="H47" s="48"/>
      <c r="J47" s="26"/>
      <c r="K47" s="26"/>
      <c r="L47" s="26"/>
      <c r="M47" s="26"/>
      <c r="N47" s="26"/>
      <c r="O47" s="48"/>
      <c r="P47" s="48"/>
    </row>
    <row r="48" spans="6:16" x14ac:dyDescent="0.7">
      <c r="F48" s="26"/>
      <c r="G48" s="48"/>
      <c r="H48" s="48"/>
      <c r="J48" s="26"/>
      <c r="K48" s="26"/>
      <c r="L48" s="26"/>
      <c r="M48" s="26"/>
      <c r="N48" s="26"/>
      <c r="O48" s="48"/>
      <c r="P48" s="48"/>
    </row>
    <row r="49" spans="1:16" x14ac:dyDescent="0.7">
      <c r="F49" s="26"/>
      <c r="G49" s="48"/>
      <c r="H49" s="48"/>
      <c r="J49" s="26"/>
      <c r="K49" s="26"/>
      <c r="L49" s="26"/>
      <c r="M49" s="26"/>
      <c r="N49" s="26"/>
      <c r="O49" s="48"/>
      <c r="P49" s="48"/>
    </row>
    <row r="50" spans="1:16" x14ac:dyDescent="0.7">
      <c r="F50" s="26"/>
      <c r="G50" s="48"/>
      <c r="H50" s="48"/>
      <c r="J50" s="26"/>
      <c r="K50" s="26"/>
      <c r="L50" s="26"/>
      <c r="M50" s="26"/>
      <c r="N50" s="26"/>
      <c r="O50" s="48"/>
      <c r="P50" s="48"/>
    </row>
    <row r="51" spans="1:16" x14ac:dyDescent="0.7">
      <c r="F51" s="26"/>
      <c r="G51" s="48"/>
      <c r="H51" s="48"/>
      <c r="J51" s="26"/>
      <c r="K51" s="26"/>
      <c r="L51" s="26"/>
      <c r="M51" s="26"/>
      <c r="N51" s="26"/>
      <c r="O51" s="48"/>
      <c r="P51" s="48"/>
    </row>
    <row r="52" spans="1:16" x14ac:dyDescent="0.7">
      <c r="F52" s="26"/>
      <c r="G52" s="48"/>
      <c r="H52" s="48"/>
      <c r="J52" s="26"/>
      <c r="K52" s="26"/>
      <c r="L52" s="26"/>
      <c r="M52" s="26"/>
      <c r="N52" s="26"/>
      <c r="O52" s="48"/>
      <c r="P52" s="48"/>
    </row>
    <row r="53" spans="1:16" x14ac:dyDescent="0.7">
      <c r="F53" s="26"/>
      <c r="G53" s="48"/>
      <c r="H53" s="48"/>
      <c r="J53" s="26"/>
      <c r="K53" s="26"/>
      <c r="L53" s="26"/>
      <c r="M53" s="26"/>
      <c r="N53" s="26"/>
      <c r="O53" s="48"/>
      <c r="P53" s="48"/>
    </row>
    <row r="54" spans="1:16" s="26" customFormat="1" x14ac:dyDescent="0.7">
      <c r="A54" s="16"/>
    </row>
    <row r="58" spans="1:16" s="26" customFormat="1" x14ac:dyDescent="0.7">
      <c r="A58" s="16"/>
    </row>
    <row r="61" spans="1:16" s="26" customFormat="1" x14ac:dyDescent="0.7">
      <c r="A61" s="16"/>
    </row>
    <row r="62" spans="1:16" s="26" customFormat="1" x14ac:dyDescent="0.7">
      <c r="A62" s="1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73"/>
  <sheetViews>
    <sheetView showZeros="0" workbookViewId="0">
      <selection activeCell="L14" sqref="L14"/>
    </sheetView>
  </sheetViews>
  <sheetFormatPr defaultRowHeight="24.75" x14ac:dyDescent="0.7"/>
  <cols>
    <col min="1" max="1" width="5.5703125" style="16" customWidth="1"/>
    <col min="2" max="2" width="19.5703125" style="16" customWidth="1"/>
    <col min="3" max="3" width="16" style="26" customWidth="1"/>
    <col min="4" max="4" width="1.140625" style="26" customWidth="1"/>
    <col min="5" max="5" width="19.140625" style="26" customWidth="1"/>
    <col min="6" max="6" width="18.7109375" style="26" customWidth="1"/>
    <col min="7" max="7" width="18.140625" style="16" customWidth="1"/>
    <col min="8" max="8" width="9.140625" style="16"/>
    <col min="9" max="9" width="10.140625" style="16" customWidth="1"/>
    <col min="10" max="10" width="16.5703125" style="16" customWidth="1"/>
    <col min="11" max="16" width="9.140625" style="16"/>
    <col min="17" max="17" width="10.85546875" style="16" customWidth="1"/>
    <col min="18" max="18" width="21.28515625" style="16" customWidth="1"/>
    <col min="19" max="16384" width="9.140625" style="16"/>
  </cols>
  <sheetData>
    <row r="2" spans="1:18" x14ac:dyDescent="0.7">
      <c r="B2" s="105" t="s">
        <v>38</v>
      </c>
      <c r="C2" s="105"/>
      <c r="D2" s="105"/>
      <c r="E2" s="105"/>
      <c r="F2" s="105"/>
    </row>
    <row r="3" spans="1:18" x14ac:dyDescent="0.7">
      <c r="A3" s="17"/>
      <c r="B3" s="71" t="s">
        <v>17</v>
      </c>
      <c r="C3" s="71" t="s">
        <v>0</v>
      </c>
      <c r="D3" s="71"/>
      <c r="E3" s="71" t="s">
        <v>17</v>
      </c>
      <c r="F3" s="71" t="s">
        <v>0</v>
      </c>
    </row>
    <row r="4" spans="1:18" x14ac:dyDescent="0.7">
      <c r="A4" s="40"/>
      <c r="B4" s="32" t="s">
        <v>33</v>
      </c>
      <c r="C4" s="72">
        <f>Statment!D5</f>
        <v>1500000</v>
      </c>
      <c r="D4" s="27"/>
      <c r="E4" s="32" t="s">
        <v>33</v>
      </c>
      <c r="F4" s="33">
        <f>Statment!D5</f>
        <v>1500000</v>
      </c>
      <c r="H4" s="26"/>
      <c r="I4" s="48"/>
      <c r="J4" s="48"/>
      <c r="L4" s="26"/>
      <c r="M4" s="26"/>
      <c r="N4" s="26"/>
      <c r="O4" s="26"/>
      <c r="P4" s="26"/>
      <c r="Q4" s="48"/>
      <c r="R4" s="48"/>
    </row>
    <row r="5" spans="1:18" x14ac:dyDescent="0.7">
      <c r="A5" s="41"/>
      <c r="B5" s="27" t="s">
        <v>65</v>
      </c>
      <c r="C5" s="72">
        <f>Statment!D20</f>
        <v>1994100</v>
      </c>
      <c r="D5" s="27"/>
      <c r="E5" s="70" t="s">
        <v>64</v>
      </c>
      <c r="F5" s="33">
        <f>Statment!F14</f>
        <v>2103800</v>
      </c>
      <c r="H5" s="26"/>
      <c r="I5" s="48"/>
      <c r="J5" s="48"/>
      <c r="L5" s="26"/>
      <c r="M5" s="26"/>
      <c r="N5" s="26"/>
      <c r="O5" s="26"/>
      <c r="P5" s="26"/>
      <c r="Q5" s="48"/>
      <c r="R5" s="48"/>
    </row>
    <row r="6" spans="1:18" x14ac:dyDescent="0.7">
      <c r="A6" s="53"/>
      <c r="B6" s="32" t="s">
        <v>63</v>
      </c>
      <c r="C6" s="72">
        <f>Statment!D26</f>
        <v>589350</v>
      </c>
      <c r="D6" s="33"/>
      <c r="E6" s="32" t="s">
        <v>63</v>
      </c>
      <c r="F6" s="33">
        <f>Statment!F26</f>
        <v>589350</v>
      </c>
      <c r="H6" s="26"/>
      <c r="I6" s="48"/>
      <c r="J6" s="48"/>
      <c r="L6" s="26"/>
      <c r="M6" s="26"/>
      <c r="N6" s="26"/>
      <c r="O6" s="26"/>
      <c r="P6" s="26"/>
      <c r="Q6" s="48"/>
      <c r="R6" s="48"/>
    </row>
    <row r="7" spans="1:18" x14ac:dyDescent="0.7">
      <c r="A7" s="40"/>
      <c r="B7" s="32" t="s">
        <v>39</v>
      </c>
      <c r="C7" s="72">
        <f>Statment!F29</f>
        <v>109700</v>
      </c>
      <c r="D7" s="33"/>
      <c r="E7" s="32" t="s">
        <v>36</v>
      </c>
      <c r="F7" s="33"/>
      <c r="H7" s="26"/>
      <c r="I7" s="48"/>
      <c r="J7" s="48"/>
      <c r="L7" s="26"/>
      <c r="M7" s="26"/>
      <c r="N7" s="26"/>
      <c r="O7" s="26"/>
      <c r="P7" s="26"/>
      <c r="Q7" s="48"/>
      <c r="R7" s="48"/>
    </row>
    <row r="8" spans="1:18" x14ac:dyDescent="0.7">
      <c r="A8" s="40"/>
      <c r="B8" s="32"/>
      <c r="C8" s="72"/>
      <c r="D8" s="33"/>
      <c r="E8" s="70"/>
      <c r="F8" s="33"/>
      <c r="H8" s="26"/>
      <c r="I8" s="48"/>
      <c r="J8" s="48"/>
      <c r="L8" s="26"/>
      <c r="M8" s="26"/>
      <c r="N8" s="26"/>
      <c r="O8" s="26"/>
      <c r="P8" s="26"/>
      <c r="Q8" s="48"/>
      <c r="R8" s="48"/>
    </row>
    <row r="9" spans="1:18" x14ac:dyDescent="0.7">
      <c r="A9" s="40"/>
      <c r="B9" s="32"/>
      <c r="C9" s="72"/>
      <c r="D9" s="33"/>
      <c r="E9" s="32"/>
      <c r="F9" s="33"/>
      <c r="H9" s="26"/>
      <c r="I9" s="48"/>
      <c r="J9" s="48"/>
      <c r="L9" s="26"/>
      <c r="M9" s="26"/>
      <c r="N9" s="26"/>
      <c r="O9" s="26"/>
      <c r="P9" s="26"/>
      <c r="Q9" s="48"/>
      <c r="R9" s="48"/>
    </row>
    <row r="10" spans="1:18" x14ac:dyDescent="0.7">
      <c r="A10" s="40"/>
      <c r="B10" s="32"/>
      <c r="C10" s="72"/>
      <c r="D10" s="33"/>
      <c r="E10" s="32"/>
      <c r="F10" s="33"/>
      <c r="H10" s="26"/>
      <c r="I10" s="48"/>
      <c r="J10" s="48"/>
      <c r="L10" s="26"/>
      <c r="M10" s="26"/>
      <c r="N10" s="26"/>
      <c r="O10" s="26"/>
      <c r="P10" s="26"/>
      <c r="Q10" s="48"/>
      <c r="R10" s="48"/>
    </row>
    <row r="11" spans="1:18" x14ac:dyDescent="0.7">
      <c r="A11" s="40"/>
      <c r="B11" s="32"/>
      <c r="C11" s="72"/>
      <c r="D11" s="33"/>
      <c r="E11" s="33"/>
      <c r="F11" s="33"/>
      <c r="H11" s="26"/>
      <c r="I11" s="48"/>
      <c r="J11" s="48"/>
      <c r="L11" s="26"/>
      <c r="M11" s="26"/>
      <c r="N11" s="26"/>
      <c r="O11" s="26"/>
      <c r="P11" s="26"/>
      <c r="Q11" s="48"/>
      <c r="R11" s="48"/>
    </row>
    <row r="12" spans="1:18" x14ac:dyDescent="0.7">
      <c r="A12" s="53"/>
      <c r="B12" s="32"/>
      <c r="C12" s="72"/>
      <c r="D12" s="33"/>
      <c r="E12" s="33"/>
      <c r="F12" s="33"/>
      <c r="H12" s="26"/>
      <c r="I12" s="48"/>
      <c r="J12" s="48"/>
      <c r="L12" s="26"/>
      <c r="M12" s="26"/>
      <c r="N12" s="26"/>
      <c r="O12" s="26"/>
      <c r="P12" s="26"/>
      <c r="Q12" s="48"/>
      <c r="R12" s="48"/>
    </row>
    <row r="13" spans="1:18" x14ac:dyDescent="0.7">
      <c r="A13" s="53"/>
      <c r="B13" s="32"/>
      <c r="C13" s="72"/>
      <c r="D13" s="33"/>
      <c r="E13" s="33"/>
      <c r="F13" s="33"/>
      <c r="H13" s="26"/>
      <c r="I13" s="48"/>
      <c r="J13" s="48"/>
      <c r="L13" s="26"/>
      <c r="M13" s="26"/>
      <c r="N13" s="26"/>
      <c r="O13" s="26"/>
      <c r="P13" s="26"/>
      <c r="Q13" s="48"/>
      <c r="R13" s="48"/>
    </row>
    <row r="14" spans="1:18" x14ac:dyDescent="0.7">
      <c r="A14" s="53"/>
      <c r="B14" s="32"/>
      <c r="C14" s="72"/>
      <c r="D14" s="33"/>
      <c r="E14" s="33"/>
      <c r="F14" s="33"/>
      <c r="H14" s="26"/>
      <c r="I14" s="48"/>
      <c r="J14" s="48"/>
      <c r="L14" s="26"/>
      <c r="M14" s="26"/>
      <c r="N14" s="26"/>
      <c r="O14" s="26"/>
      <c r="P14" s="26"/>
      <c r="Q14" s="48"/>
      <c r="R14" s="48"/>
    </row>
    <row r="15" spans="1:18" ht="25.5" thickBot="1" x14ac:dyDescent="0.75">
      <c r="A15" s="53"/>
      <c r="B15" s="32"/>
      <c r="C15" s="72"/>
      <c r="D15" s="33"/>
      <c r="E15" s="33"/>
      <c r="F15" s="33"/>
      <c r="H15" s="26"/>
      <c r="I15" s="48"/>
      <c r="J15" s="48"/>
      <c r="L15" s="26"/>
      <c r="M15" s="26"/>
      <c r="N15" s="26"/>
      <c r="O15" s="26"/>
      <c r="P15" s="26"/>
      <c r="Q15" s="48"/>
      <c r="R15" s="48"/>
    </row>
    <row r="16" spans="1:18" ht="26.25" thickTop="1" thickBot="1" x14ac:dyDescent="0.75">
      <c r="A16" s="53"/>
      <c r="B16" s="75" t="s">
        <v>54</v>
      </c>
      <c r="C16" s="73">
        <f>SUM(C4:C15)</f>
        <v>4193150</v>
      </c>
      <c r="D16" s="74"/>
      <c r="E16" s="75" t="s">
        <v>54</v>
      </c>
      <c r="F16" s="74">
        <f>SUM(F4:F15)</f>
        <v>4193150</v>
      </c>
      <c r="H16" s="26"/>
      <c r="I16" s="48"/>
      <c r="J16" s="48"/>
      <c r="L16" s="26"/>
      <c r="M16" s="26"/>
      <c r="N16" s="26"/>
      <c r="O16" s="26"/>
      <c r="P16" s="26"/>
      <c r="Q16" s="48"/>
      <c r="R16" s="48"/>
    </row>
    <row r="17" spans="1:18" ht="25.5" thickTop="1" x14ac:dyDescent="0.7">
      <c r="A17" s="53"/>
      <c r="B17" s="40"/>
      <c r="C17" s="49"/>
      <c r="D17" s="54"/>
      <c r="E17" s="54"/>
      <c r="F17" s="49"/>
      <c r="G17" s="17"/>
      <c r="H17" s="26"/>
      <c r="I17" s="48"/>
      <c r="J17" s="48"/>
      <c r="L17" s="26"/>
      <c r="M17" s="26"/>
      <c r="N17" s="26"/>
      <c r="O17" s="26"/>
      <c r="P17" s="26"/>
      <c r="Q17" s="48"/>
      <c r="R17" s="48"/>
    </row>
    <row r="18" spans="1:18" x14ac:dyDescent="0.7">
      <c r="A18" s="53"/>
      <c r="B18" s="40"/>
      <c r="C18" s="49"/>
      <c r="D18" s="54"/>
      <c r="E18" s="54"/>
      <c r="F18" s="49">
        <f>F16-C16</f>
        <v>0</v>
      </c>
      <c r="G18" s="17"/>
      <c r="H18" s="26"/>
      <c r="I18" s="48"/>
      <c r="J18" s="48"/>
      <c r="L18" s="26"/>
      <c r="M18" s="26"/>
      <c r="N18" s="26"/>
      <c r="O18" s="26"/>
      <c r="P18" s="26"/>
      <c r="Q18" s="48"/>
      <c r="R18" s="48"/>
    </row>
    <row r="19" spans="1:18" x14ac:dyDescent="0.7">
      <c r="A19" s="53"/>
      <c r="B19" s="40"/>
      <c r="C19" s="49"/>
      <c r="D19" s="54"/>
      <c r="E19" s="54"/>
      <c r="F19" s="49"/>
      <c r="G19" s="17"/>
      <c r="H19" s="26"/>
      <c r="I19" s="48"/>
      <c r="J19" s="48"/>
      <c r="L19" s="26"/>
      <c r="M19" s="26"/>
      <c r="N19" s="26"/>
      <c r="O19" s="26"/>
      <c r="P19" s="26"/>
      <c r="Q19" s="48"/>
      <c r="R19" s="48"/>
    </row>
    <row r="20" spans="1:18" x14ac:dyDescent="0.7">
      <c r="A20" s="53"/>
      <c r="B20" s="40"/>
      <c r="C20" s="49"/>
      <c r="D20" s="54"/>
      <c r="E20" s="49"/>
      <c r="F20" s="49"/>
      <c r="H20" s="26"/>
      <c r="I20" s="48"/>
      <c r="J20" s="48"/>
      <c r="L20" s="26"/>
      <c r="M20" s="26"/>
      <c r="N20" s="26"/>
      <c r="O20" s="26"/>
      <c r="P20" s="26"/>
      <c r="Q20" s="48"/>
      <c r="R20" s="48"/>
    </row>
    <row r="21" spans="1:18" x14ac:dyDescent="0.7">
      <c r="A21" s="53"/>
      <c r="B21" s="40"/>
      <c r="C21" s="49"/>
      <c r="D21" s="54"/>
      <c r="E21" s="49"/>
      <c r="F21" s="49"/>
      <c r="G21" s="17"/>
      <c r="H21" s="26"/>
      <c r="I21" s="48"/>
      <c r="J21" s="48"/>
      <c r="L21" s="26"/>
      <c r="M21" s="26"/>
      <c r="N21" s="26"/>
      <c r="O21" s="26"/>
      <c r="P21" s="26"/>
      <c r="Q21" s="48"/>
      <c r="R21" s="48"/>
    </row>
    <row r="22" spans="1:18" x14ac:dyDescent="0.7">
      <c r="A22" s="53"/>
      <c r="B22" s="40"/>
      <c r="C22" s="49"/>
      <c r="D22" s="54"/>
      <c r="E22" s="49"/>
      <c r="F22" s="49"/>
      <c r="G22" s="17"/>
      <c r="H22" s="26"/>
      <c r="I22" s="48"/>
      <c r="J22" s="48"/>
      <c r="L22" s="26"/>
      <c r="M22" s="26"/>
      <c r="N22" s="26"/>
      <c r="O22" s="26"/>
      <c r="P22" s="26"/>
      <c r="Q22" s="48"/>
      <c r="R22" s="48"/>
    </row>
    <row r="23" spans="1:18" x14ac:dyDescent="0.7">
      <c r="A23" s="53"/>
      <c r="B23" s="40"/>
      <c r="C23" s="49"/>
      <c r="D23" s="54"/>
      <c r="E23" s="49"/>
      <c r="F23" s="49"/>
      <c r="G23" s="17"/>
      <c r="H23" s="26"/>
      <c r="I23" s="48"/>
      <c r="J23" s="48"/>
      <c r="L23" s="26"/>
      <c r="M23" s="26"/>
      <c r="N23" s="26"/>
      <c r="O23" s="26"/>
      <c r="P23" s="26"/>
      <c r="Q23" s="48"/>
      <c r="R23" s="48"/>
    </row>
    <row r="24" spans="1:18" x14ac:dyDescent="0.7">
      <c r="A24" s="53"/>
      <c r="B24" s="40"/>
      <c r="C24" s="49"/>
      <c r="D24" s="54"/>
      <c r="E24" s="54"/>
      <c r="F24" s="49"/>
      <c r="H24" s="26"/>
      <c r="I24" s="48"/>
      <c r="J24" s="48"/>
      <c r="L24" s="26"/>
      <c r="M24" s="26"/>
      <c r="N24" s="26"/>
      <c r="O24" s="26"/>
      <c r="P24" s="26"/>
      <c r="Q24" s="48"/>
      <c r="R24" s="48"/>
    </row>
    <row r="25" spans="1:18" x14ac:dyDescent="0.7">
      <c r="A25" s="53"/>
      <c r="B25" s="40"/>
      <c r="C25" s="49"/>
      <c r="D25" s="54"/>
      <c r="E25" s="54"/>
      <c r="F25" s="49"/>
      <c r="H25" s="26"/>
      <c r="I25" s="48"/>
      <c r="J25" s="48"/>
      <c r="L25" s="26"/>
      <c r="M25" s="26"/>
      <c r="N25" s="26"/>
      <c r="O25" s="26"/>
      <c r="P25" s="26"/>
      <c r="Q25" s="48"/>
      <c r="R25" s="48"/>
    </row>
    <row r="26" spans="1:18" x14ac:dyDescent="0.7">
      <c r="A26" s="53"/>
      <c r="B26" s="40"/>
      <c r="C26" s="49"/>
      <c r="D26" s="54"/>
      <c r="E26" s="54"/>
      <c r="F26" s="49"/>
      <c r="H26" s="26"/>
      <c r="I26" s="48"/>
      <c r="J26" s="48"/>
      <c r="L26" s="26"/>
      <c r="M26" s="26"/>
      <c r="N26" s="26"/>
      <c r="O26" s="26"/>
      <c r="P26" s="26"/>
      <c r="Q26" s="48"/>
      <c r="R26" s="48"/>
    </row>
    <row r="27" spans="1:18" x14ac:dyDescent="0.7">
      <c r="A27" s="53"/>
      <c r="B27" s="40"/>
      <c r="C27" s="49"/>
      <c r="D27" s="54"/>
      <c r="E27" s="52"/>
      <c r="F27" s="49"/>
      <c r="G27" s="17"/>
      <c r="H27" s="26"/>
      <c r="I27" s="48"/>
      <c r="J27" s="48"/>
      <c r="L27" s="26"/>
      <c r="M27" s="26"/>
      <c r="N27" s="26"/>
      <c r="O27" s="26"/>
      <c r="P27" s="26"/>
      <c r="Q27" s="48"/>
      <c r="R27" s="48"/>
    </row>
    <row r="28" spans="1:18" x14ac:dyDescent="0.7">
      <c r="A28" s="53"/>
      <c r="B28" s="40"/>
      <c r="C28" s="49"/>
      <c r="D28" s="54"/>
      <c r="E28" s="52"/>
      <c r="F28" s="49"/>
      <c r="H28" s="26"/>
      <c r="I28" s="48"/>
      <c r="J28" s="48"/>
      <c r="L28" s="26"/>
      <c r="M28" s="26"/>
      <c r="N28" s="26"/>
      <c r="O28" s="26"/>
      <c r="P28" s="26"/>
      <c r="Q28" s="48"/>
      <c r="R28" s="48"/>
    </row>
    <row r="29" spans="1:18" x14ac:dyDescent="0.7">
      <c r="A29" s="53"/>
      <c r="B29" s="40"/>
      <c r="C29" s="49"/>
      <c r="D29" s="54"/>
      <c r="E29" s="54"/>
      <c r="F29" s="49"/>
      <c r="H29" s="26"/>
      <c r="I29" s="48"/>
      <c r="J29" s="48"/>
      <c r="L29" s="26"/>
      <c r="M29" s="26"/>
      <c r="N29" s="26"/>
      <c r="O29" s="26"/>
      <c r="P29" s="26"/>
      <c r="Q29" s="48"/>
      <c r="R29" s="48"/>
    </row>
    <row r="30" spans="1:18" x14ac:dyDescent="0.7">
      <c r="A30" s="53"/>
      <c r="B30" s="40"/>
      <c r="C30" s="49"/>
      <c r="D30" s="54"/>
      <c r="E30" s="54"/>
      <c r="F30" s="49"/>
      <c r="G30" s="17"/>
      <c r="H30" s="26"/>
      <c r="I30" s="26"/>
      <c r="J30" s="26"/>
      <c r="L30" s="26"/>
      <c r="M30" s="26"/>
      <c r="N30" s="26"/>
      <c r="O30" s="26"/>
      <c r="P30" s="26"/>
      <c r="Q30" s="48"/>
      <c r="R30" s="48"/>
    </row>
    <row r="31" spans="1:18" x14ac:dyDescent="0.7">
      <c r="A31" s="53"/>
      <c r="B31" s="40"/>
      <c r="C31" s="49"/>
      <c r="D31" s="54"/>
      <c r="E31" s="54"/>
      <c r="F31" s="49"/>
      <c r="H31" s="26"/>
      <c r="I31" s="26"/>
      <c r="J31" s="26"/>
      <c r="L31" s="26"/>
      <c r="M31" s="26"/>
      <c r="N31" s="26"/>
      <c r="O31" s="26"/>
      <c r="P31" s="26"/>
      <c r="Q31" s="48"/>
      <c r="R31" s="48"/>
    </row>
    <row r="32" spans="1:18" x14ac:dyDescent="0.7">
      <c r="A32" s="53"/>
      <c r="B32" s="40"/>
      <c r="C32" s="49"/>
      <c r="D32" s="54"/>
      <c r="E32" s="54"/>
      <c r="F32" s="49"/>
      <c r="H32" s="26"/>
      <c r="I32" s="26"/>
      <c r="J32" s="48"/>
      <c r="L32" s="26"/>
      <c r="M32" s="26"/>
      <c r="N32" s="26"/>
      <c r="O32" s="26"/>
      <c r="P32" s="26"/>
      <c r="Q32" s="48"/>
      <c r="R32" s="48"/>
    </row>
    <row r="33" spans="1:18" x14ac:dyDescent="0.7">
      <c r="A33" s="40"/>
      <c r="B33" s="40"/>
      <c r="C33" s="49"/>
      <c r="D33" s="54"/>
      <c r="E33" s="54"/>
      <c r="F33" s="49"/>
      <c r="H33" s="26"/>
      <c r="I33" s="26"/>
      <c r="J33" s="48"/>
      <c r="L33" s="26"/>
      <c r="M33" s="26"/>
      <c r="N33" s="26"/>
      <c r="O33" s="26"/>
      <c r="P33" s="26"/>
      <c r="Q33" s="48"/>
      <c r="R33" s="48"/>
    </row>
    <row r="34" spans="1:18" x14ac:dyDescent="0.7">
      <c r="A34" s="40"/>
      <c r="B34" s="40"/>
      <c r="C34" s="49"/>
      <c r="D34" s="54"/>
      <c r="E34" s="54"/>
      <c r="F34" s="49"/>
      <c r="H34" s="26"/>
      <c r="I34" s="26"/>
      <c r="J34" s="48"/>
      <c r="L34" s="26"/>
      <c r="M34" s="26"/>
      <c r="N34" s="26"/>
      <c r="O34" s="26"/>
      <c r="P34" s="26"/>
      <c r="Q34" s="48"/>
      <c r="R34" s="48"/>
    </row>
    <row r="35" spans="1:18" x14ac:dyDescent="0.7">
      <c r="A35" s="40"/>
      <c r="B35" s="40"/>
      <c r="C35" s="49"/>
      <c r="D35" s="54"/>
      <c r="E35" s="54"/>
      <c r="F35" s="49"/>
      <c r="H35" s="26"/>
      <c r="I35" s="48"/>
      <c r="J35" s="48"/>
      <c r="L35" s="26"/>
      <c r="M35" s="26"/>
      <c r="N35" s="26"/>
      <c r="O35" s="26"/>
      <c r="P35" s="26"/>
      <c r="Q35" s="48"/>
      <c r="R35" s="48"/>
    </row>
    <row r="36" spans="1:18" x14ac:dyDescent="0.7">
      <c r="A36" s="40"/>
      <c r="B36" s="40"/>
      <c r="C36" s="49"/>
      <c r="D36" s="54"/>
      <c r="E36" s="54"/>
      <c r="F36" s="49"/>
      <c r="H36" s="26"/>
      <c r="I36" s="48"/>
      <c r="J36" s="48"/>
      <c r="L36" s="26"/>
      <c r="M36" s="26"/>
      <c r="N36" s="26"/>
      <c r="O36" s="26"/>
      <c r="P36" s="26"/>
      <c r="Q36" s="48"/>
      <c r="R36" s="48"/>
    </row>
    <row r="37" spans="1:18" x14ac:dyDescent="0.7">
      <c r="A37" s="40"/>
      <c r="B37" s="40"/>
      <c r="C37" s="49"/>
      <c r="D37" s="54"/>
      <c r="E37" s="54"/>
      <c r="F37" s="49"/>
      <c r="H37" s="26"/>
      <c r="I37" s="48"/>
      <c r="J37" s="48"/>
      <c r="L37" s="26"/>
      <c r="M37" s="26"/>
      <c r="N37" s="26"/>
      <c r="O37" s="26"/>
      <c r="P37" s="26"/>
      <c r="Q37" s="48"/>
      <c r="R37" s="48"/>
    </row>
    <row r="38" spans="1:18" x14ac:dyDescent="0.7">
      <c r="A38" s="40"/>
      <c r="B38" s="40"/>
      <c r="C38" s="49"/>
      <c r="D38" s="54"/>
      <c r="E38" s="54"/>
      <c r="F38" s="49"/>
      <c r="H38" s="26"/>
      <c r="I38" s="48"/>
      <c r="J38" s="48"/>
      <c r="L38" s="26"/>
      <c r="M38" s="26"/>
      <c r="N38" s="26"/>
      <c r="O38" s="26"/>
      <c r="P38" s="26"/>
      <c r="Q38" s="48"/>
      <c r="R38" s="48"/>
    </row>
    <row r="39" spans="1:18" x14ac:dyDescent="0.7">
      <c r="A39" s="40"/>
      <c r="B39" s="40"/>
      <c r="C39" s="49"/>
      <c r="D39" s="54"/>
      <c r="E39" s="54"/>
      <c r="F39" s="49"/>
      <c r="H39" s="26"/>
      <c r="I39" s="48"/>
      <c r="J39" s="48"/>
      <c r="L39" s="26"/>
      <c r="M39" s="26"/>
      <c r="N39" s="26"/>
      <c r="O39" s="26"/>
      <c r="P39" s="26"/>
      <c r="Q39" s="48"/>
      <c r="R39" s="48"/>
    </row>
    <row r="40" spans="1:18" x14ac:dyDescent="0.7">
      <c r="A40" s="40"/>
      <c r="B40" s="40"/>
      <c r="C40" s="49"/>
      <c r="D40" s="54"/>
      <c r="E40" s="54"/>
      <c r="F40" s="57"/>
      <c r="H40" s="26"/>
      <c r="I40" s="48"/>
      <c r="J40" s="48"/>
      <c r="L40" s="26"/>
      <c r="M40" s="26"/>
      <c r="N40" s="26"/>
      <c r="O40" s="26"/>
      <c r="P40" s="26"/>
      <c r="Q40" s="48"/>
      <c r="R40" s="48"/>
    </row>
    <row r="41" spans="1:18" x14ac:dyDescent="0.7">
      <c r="A41" s="103"/>
      <c r="B41" s="104"/>
      <c r="C41" s="104"/>
      <c r="D41" s="104"/>
      <c r="E41" s="58"/>
      <c r="F41" s="59"/>
      <c r="H41" s="26"/>
      <c r="I41" s="48"/>
      <c r="J41" s="48"/>
      <c r="L41" s="26"/>
      <c r="M41" s="26"/>
      <c r="N41" s="26"/>
      <c r="O41" s="26"/>
      <c r="P41" s="26"/>
      <c r="Q41" s="48"/>
      <c r="R41" s="48"/>
    </row>
    <row r="42" spans="1:18" x14ac:dyDescent="0.7">
      <c r="A42" s="40"/>
      <c r="B42" s="40"/>
      <c r="C42" s="49"/>
      <c r="D42" s="49"/>
      <c r="E42" s="49"/>
      <c r="F42" s="49"/>
      <c r="H42" s="26"/>
      <c r="I42" s="48"/>
      <c r="J42" s="48"/>
      <c r="L42" s="26"/>
      <c r="M42" s="26"/>
      <c r="N42" s="26"/>
      <c r="O42" s="26"/>
      <c r="P42" s="26"/>
      <c r="Q42" s="48"/>
      <c r="R42" s="48"/>
    </row>
    <row r="43" spans="1:18" x14ac:dyDescent="0.7">
      <c r="H43" s="26"/>
      <c r="I43" s="48"/>
      <c r="J43" s="48"/>
      <c r="L43" s="26"/>
      <c r="M43" s="26"/>
      <c r="N43" s="26"/>
      <c r="O43" s="26"/>
      <c r="P43" s="26"/>
      <c r="Q43" s="48"/>
      <c r="R43" s="48"/>
    </row>
    <row r="44" spans="1:18" x14ac:dyDescent="0.7">
      <c r="H44" s="26"/>
      <c r="I44" s="48"/>
      <c r="J44" s="48"/>
      <c r="L44" s="26"/>
      <c r="M44" s="26"/>
      <c r="N44" s="26"/>
      <c r="O44" s="26"/>
      <c r="P44" s="26"/>
      <c r="Q44" s="48"/>
      <c r="R44" s="48"/>
    </row>
    <row r="45" spans="1:18" x14ac:dyDescent="0.7">
      <c r="H45" s="47"/>
      <c r="I45" s="48"/>
      <c r="J45" s="48"/>
      <c r="L45" s="26"/>
      <c r="M45" s="26"/>
      <c r="N45" s="26"/>
      <c r="O45" s="26"/>
      <c r="P45" s="26"/>
      <c r="Q45" s="48"/>
      <c r="R45" s="48"/>
    </row>
    <row r="46" spans="1:18" x14ac:dyDescent="0.7">
      <c r="H46" s="47"/>
      <c r="I46" s="48"/>
      <c r="J46" s="48"/>
      <c r="L46" s="26"/>
      <c r="M46" s="26"/>
      <c r="N46" s="26"/>
      <c r="O46" s="26"/>
      <c r="P46" s="26"/>
      <c r="Q46" s="48"/>
      <c r="R46" s="48"/>
    </row>
    <row r="47" spans="1:18" x14ac:dyDescent="0.7">
      <c r="H47" s="47"/>
      <c r="I47" s="48"/>
      <c r="J47" s="48"/>
      <c r="L47" s="26"/>
      <c r="M47" s="26"/>
      <c r="N47" s="26"/>
      <c r="O47" s="26"/>
      <c r="P47" s="26"/>
      <c r="Q47" s="48"/>
      <c r="R47" s="48"/>
    </row>
    <row r="48" spans="1:18" x14ac:dyDescent="0.7">
      <c r="H48" s="47"/>
      <c r="I48" s="48"/>
      <c r="J48" s="48"/>
      <c r="L48" s="26"/>
      <c r="M48" s="26"/>
      <c r="N48" s="26"/>
      <c r="O48" s="26"/>
      <c r="P48" s="26"/>
      <c r="Q48" s="48"/>
      <c r="R48" s="48"/>
    </row>
    <row r="49" spans="8:18" x14ac:dyDescent="0.7">
      <c r="H49" s="47"/>
      <c r="I49" s="48"/>
      <c r="J49" s="48"/>
      <c r="L49" s="26"/>
      <c r="M49" s="26"/>
      <c r="N49" s="26"/>
      <c r="O49" s="26"/>
      <c r="P49" s="26"/>
      <c r="Q49" s="48"/>
      <c r="R49" s="48"/>
    </row>
    <row r="50" spans="8:18" x14ac:dyDescent="0.7">
      <c r="H50" s="47"/>
      <c r="I50" s="48"/>
      <c r="J50" s="48"/>
      <c r="L50" s="26"/>
      <c r="M50" s="26"/>
      <c r="N50" s="26"/>
      <c r="O50" s="26"/>
      <c r="P50" s="26"/>
      <c r="Q50" s="48"/>
      <c r="R50" s="48"/>
    </row>
    <row r="51" spans="8:18" x14ac:dyDescent="0.7">
      <c r="H51" s="26"/>
      <c r="I51" s="48"/>
      <c r="J51" s="48"/>
      <c r="L51" s="26"/>
      <c r="M51" s="26"/>
      <c r="N51" s="26"/>
      <c r="O51" s="26"/>
      <c r="P51" s="26"/>
      <c r="Q51" s="48"/>
      <c r="R51" s="48"/>
    </row>
    <row r="52" spans="8:18" x14ac:dyDescent="0.7">
      <c r="H52" s="26"/>
      <c r="I52" s="48"/>
      <c r="J52" s="48"/>
      <c r="L52" s="26"/>
      <c r="M52" s="26"/>
      <c r="N52" s="26"/>
      <c r="O52" s="26"/>
      <c r="P52" s="26"/>
      <c r="Q52" s="48"/>
      <c r="R52" s="48"/>
    </row>
    <row r="53" spans="8:18" x14ac:dyDescent="0.7">
      <c r="H53" s="26"/>
      <c r="I53" s="26"/>
      <c r="J53" s="48"/>
      <c r="L53" s="26"/>
      <c r="M53" s="26"/>
      <c r="N53" s="26"/>
      <c r="O53" s="26"/>
      <c r="P53" s="26"/>
      <c r="Q53" s="48"/>
      <c r="R53" s="48"/>
    </row>
    <row r="54" spans="8:18" x14ac:dyDescent="0.7">
      <c r="H54" s="26"/>
      <c r="I54" s="48"/>
      <c r="J54" s="48"/>
      <c r="L54" s="26"/>
      <c r="M54" s="26"/>
      <c r="N54" s="26"/>
      <c r="O54" s="26"/>
      <c r="P54" s="26"/>
      <c r="Q54" s="48"/>
      <c r="R54" s="48"/>
    </row>
    <row r="55" spans="8:18" x14ac:dyDescent="0.7">
      <c r="H55" s="26"/>
      <c r="I55" s="48"/>
      <c r="J55" s="48"/>
      <c r="L55" s="26"/>
      <c r="M55" s="26"/>
      <c r="N55" s="26"/>
      <c r="O55" s="26"/>
      <c r="P55" s="26"/>
      <c r="Q55" s="48"/>
      <c r="R55" s="48"/>
    </row>
    <row r="56" spans="8:18" x14ac:dyDescent="0.7">
      <c r="H56" s="26"/>
      <c r="I56" s="48"/>
      <c r="J56" s="48"/>
      <c r="L56" s="26"/>
      <c r="M56" s="26"/>
      <c r="N56" s="26"/>
      <c r="O56" s="26"/>
      <c r="P56" s="26"/>
      <c r="Q56" s="48"/>
      <c r="R56" s="48"/>
    </row>
    <row r="57" spans="8:18" x14ac:dyDescent="0.7">
      <c r="H57" s="26"/>
      <c r="I57" s="48"/>
      <c r="J57" s="48"/>
      <c r="L57" s="26"/>
      <c r="M57" s="26"/>
      <c r="N57" s="26"/>
      <c r="O57" s="26"/>
      <c r="P57" s="26"/>
      <c r="Q57" s="48"/>
      <c r="R57" s="48"/>
    </row>
    <row r="58" spans="8:18" x14ac:dyDescent="0.7">
      <c r="H58" s="26"/>
      <c r="I58" s="48"/>
      <c r="J58" s="48"/>
      <c r="L58" s="26"/>
      <c r="M58" s="26"/>
      <c r="N58" s="26"/>
      <c r="O58" s="26"/>
      <c r="P58" s="26"/>
      <c r="Q58" s="48"/>
      <c r="R58" s="48"/>
    </row>
    <row r="59" spans="8:18" x14ac:dyDescent="0.7">
      <c r="H59" s="26"/>
      <c r="I59" s="48"/>
      <c r="J59" s="48"/>
      <c r="L59" s="26"/>
      <c r="M59" s="26"/>
      <c r="N59" s="26"/>
      <c r="O59" s="26"/>
      <c r="P59" s="26"/>
      <c r="Q59" s="48"/>
      <c r="R59" s="48"/>
    </row>
    <row r="60" spans="8:18" x14ac:dyDescent="0.7">
      <c r="H60" s="26"/>
      <c r="I60" s="48"/>
      <c r="J60" s="48"/>
      <c r="L60" s="26"/>
      <c r="M60" s="26"/>
      <c r="N60" s="26"/>
      <c r="O60" s="26"/>
      <c r="P60" s="26"/>
      <c r="Q60" s="48"/>
      <c r="R60" s="48"/>
    </row>
    <row r="61" spans="8:18" x14ac:dyDescent="0.7">
      <c r="H61" s="26"/>
      <c r="I61" s="48"/>
      <c r="J61" s="48"/>
      <c r="L61" s="26"/>
      <c r="M61" s="26"/>
      <c r="N61" s="26"/>
      <c r="O61" s="26"/>
      <c r="P61" s="26"/>
      <c r="Q61" s="48"/>
      <c r="R61" s="48"/>
    </row>
    <row r="62" spans="8:18" x14ac:dyDescent="0.7">
      <c r="H62" s="26"/>
      <c r="I62" s="48"/>
      <c r="J62" s="48"/>
      <c r="L62" s="26"/>
      <c r="M62" s="26"/>
      <c r="N62" s="26"/>
      <c r="O62" s="26"/>
      <c r="P62" s="26"/>
      <c r="Q62" s="48"/>
      <c r="R62" s="48"/>
    </row>
    <row r="63" spans="8:18" x14ac:dyDescent="0.7">
      <c r="H63" s="26"/>
      <c r="I63" s="48"/>
      <c r="J63" s="48"/>
      <c r="L63" s="26"/>
      <c r="M63" s="26"/>
      <c r="N63" s="26"/>
      <c r="O63" s="26"/>
      <c r="P63" s="26"/>
      <c r="Q63" s="48"/>
      <c r="R63" s="48"/>
    </row>
    <row r="64" spans="8:18" x14ac:dyDescent="0.7">
      <c r="H64" s="26"/>
      <c r="I64" s="48"/>
      <c r="J64" s="48"/>
      <c r="L64" s="26"/>
      <c r="M64" s="26"/>
      <c r="N64" s="26"/>
      <c r="O64" s="26"/>
      <c r="P64" s="26"/>
      <c r="Q64" s="48"/>
      <c r="R64" s="48"/>
    </row>
    <row r="65" spans="1:2" s="26" customFormat="1" x14ac:dyDescent="0.7">
      <c r="A65" s="16"/>
      <c r="B65" s="16"/>
    </row>
    <row r="69" spans="1:2" s="26" customFormat="1" x14ac:dyDescent="0.7">
      <c r="A69" s="16"/>
      <c r="B69" s="16"/>
    </row>
    <row r="72" spans="1:2" s="26" customFormat="1" x14ac:dyDescent="0.7">
      <c r="A72" s="16"/>
      <c r="B72" s="16"/>
    </row>
    <row r="73" spans="1:2" s="26" customFormat="1" x14ac:dyDescent="0.7">
      <c r="A73" s="16"/>
      <c r="B73" s="16"/>
    </row>
  </sheetData>
  <mergeCells count="2">
    <mergeCell ref="A41:D41"/>
    <mergeCell ref="B2:F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69"/>
  <sheetViews>
    <sheetView showZeros="0" workbookViewId="0">
      <selection activeCell="B25" sqref="B25"/>
    </sheetView>
  </sheetViews>
  <sheetFormatPr defaultRowHeight="24.75" x14ac:dyDescent="0.7"/>
  <cols>
    <col min="1" max="1" width="6.85546875" style="16" customWidth="1"/>
    <col min="2" max="2" width="41.85546875" style="16" customWidth="1"/>
    <col min="3" max="3" width="11.42578125" style="16" customWidth="1"/>
    <col min="4" max="4" width="11.140625" style="26" customWidth="1"/>
    <col min="5" max="5" width="26.28515625" style="26" customWidth="1"/>
    <col min="6" max="6" width="18.140625" style="16" customWidth="1"/>
    <col min="7" max="7" width="9.140625" style="16"/>
    <col min="8" max="8" width="10.140625" style="16" customWidth="1"/>
    <col min="9" max="9" width="16.5703125" style="16" customWidth="1"/>
    <col min="10" max="15" width="9.140625" style="16"/>
    <col min="16" max="16" width="10.85546875" style="16" customWidth="1"/>
    <col min="17" max="17" width="21.28515625" style="16" customWidth="1"/>
    <col min="18" max="16384" width="9.140625" style="16"/>
  </cols>
  <sheetData>
    <row r="2" spans="1:17" x14ac:dyDescent="0.7">
      <c r="B2" s="105" t="s">
        <v>69</v>
      </c>
      <c r="C2" s="105"/>
      <c r="D2" s="105"/>
      <c r="E2" s="105"/>
    </row>
    <row r="3" spans="1:17" ht="39.75" customHeight="1" x14ac:dyDescent="0.7">
      <c r="A3" s="83" t="s">
        <v>4</v>
      </c>
      <c r="B3" s="34" t="s">
        <v>70</v>
      </c>
      <c r="C3" s="34" t="s">
        <v>80</v>
      </c>
      <c r="D3" s="34" t="s">
        <v>71</v>
      </c>
      <c r="E3" s="34" t="s">
        <v>50</v>
      </c>
    </row>
    <row r="4" spans="1:17" x14ac:dyDescent="0.7">
      <c r="A4" s="77">
        <v>1</v>
      </c>
      <c r="B4" s="32" t="s">
        <v>73</v>
      </c>
      <c r="C4" s="27" t="s">
        <v>72</v>
      </c>
      <c r="D4" s="72">
        <v>1800</v>
      </c>
      <c r="E4" s="27"/>
      <c r="G4" s="26"/>
      <c r="H4" s="48"/>
      <c r="I4" s="48"/>
      <c r="K4" s="26"/>
      <c r="L4" s="26"/>
      <c r="M4" s="26"/>
      <c r="N4" s="26"/>
      <c r="O4" s="26"/>
      <c r="P4" s="48"/>
      <c r="Q4" s="48"/>
    </row>
    <row r="5" spans="1:17" x14ac:dyDescent="0.7">
      <c r="A5" s="77">
        <v>2</v>
      </c>
      <c r="B5" s="32" t="s">
        <v>74</v>
      </c>
      <c r="C5" s="27" t="s">
        <v>72</v>
      </c>
      <c r="D5" s="72">
        <v>1800</v>
      </c>
      <c r="E5" s="27"/>
      <c r="G5" s="26"/>
      <c r="H5" s="48"/>
      <c r="I5" s="48"/>
      <c r="K5" s="26"/>
      <c r="L5" s="26"/>
      <c r="M5" s="26"/>
      <c r="N5" s="26"/>
      <c r="O5" s="26"/>
      <c r="P5" s="48"/>
      <c r="Q5" s="48"/>
    </row>
    <row r="6" spans="1:17" x14ac:dyDescent="0.7">
      <c r="A6" s="78">
        <v>3</v>
      </c>
      <c r="B6" s="32" t="s">
        <v>73</v>
      </c>
      <c r="C6" s="27" t="s">
        <v>75</v>
      </c>
      <c r="D6" s="72">
        <v>6500</v>
      </c>
      <c r="E6" s="33"/>
      <c r="G6" s="26"/>
      <c r="H6" s="48"/>
      <c r="I6" s="48"/>
      <c r="K6" s="26"/>
      <c r="L6" s="26"/>
      <c r="M6" s="26"/>
      <c r="N6" s="26"/>
      <c r="O6" s="26"/>
      <c r="P6" s="48"/>
      <c r="Q6" s="48"/>
    </row>
    <row r="7" spans="1:17" x14ac:dyDescent="0.7">
      <c r="A7" s="77">
        <v>4</v>
      </c>
      <c r="B7" s="32" t="s">
        <v>74</v>
      </c>
      <c r="C7" s="27" t="s">
        <v>75</v>
      </c>
      <c r="D7" s="72">
        <v>6500</v>
      </c>
      <c r="E7" s="33"/>
      <c r="G7" s="26"/>
      <c r="H7" s="48"/>
      <c r="I7" s="48"/>
      <c r="K7" s="26"/>
      <c r="L7" s="26"/>
      <c r="M7" s="26"/>
      <c r="N7" s="26"/>
      <c r="O7" s="26"/>
      <c r="P7" s="48"/>
      <c r="Q7" s="48"/>
    </row>
    <row r="8" spans="1:17" x14ac:dyDescent="0.7">
      <c r="A8" s="77">
        <v>5</v>
      </c>
      <c r="B8" s="32" t="s">
        <v>76</v>
      </c>
      <c r="C8" s="27" t="s">
        <v>72</v>
      </c>
      <c r="D8" s="72">
        <v>1800</v>
      </c>
      <c r="E8" s="33"/>
      <c r="G8" s="26"/>
      <c r="H8" s="48"/>
      <c r="I8" s="48"/>
      <c r="K8" s="26"/>
      <c r="L8" s="26"/>
      <c r="M8" s="26"/>
      <c r="N8" s="26"/>
      <c r="O8" s="26"/>
      <c r="P8" s="48"/>
      <c r="Q8" s="48"/>
    </row>
    <row r="9" spans="1:17" x14ac:dyDescent="0.7">
      <c r="A9" s="77">
        <v>6</v>
      </c>
      <c r="B9" s="32" t="s">
        <v>76</v>
      </c>
      <c r="C9" s="27" t="s">
        <v>75</v>
      </c>
      <c r="D9" s="72">
        <v>6500</v>
      </c>
      <c r="E9" s="33"/>
      <c r="G9" s="26"/>
      <c r="H9" s="48"/>
      <c r="I9" s="48"/>
      <c r="K9" s="26"/>
      <c r="L9" s="26"/>
      <c r="M9" s="26"/>
      <c r="N9" s="26"/>
      <c r="O9" s="26"/>
      <c r="P9" s="48"/>
      <c r="Q9" s="48"/>
    </row>
    <row r="10" spans="1:17" x14ac:dyDescent="0.7">
      <c r="A10" s="84">
        <v>7</v>
      </c>
      <c r="B10" s="85" t="s">
        <v>77</v>
      </c>
      <c r="C10" s="89" t="s">
        <v>72</v>
      </c>
      <c r="D10" s="86">
        <v>2100</v>
      </c>
      <c r="E10" s="87" t="s">
        <v>78</v>
      </c>
      <c r="G10" s="26"/>
      <c r="H10" s="48"/>
      <c r="I10" s="48"/>
      <c r="K10" s="26"/>
      <c r="L10" s="26"/>
      <c r="M10" s="26"/>
      <c r="N10" s="26"/>
      <c r="O10" s="26"/>
      <c r="P10" s="48"/>
      <c r="Q10" s="48"/>
    </row>
    <row r="11" spans="1:17" x14ac:dyDescent="0.7">
      <c r="A11" s="88">
        <v>8</v>
      </c>
      <c r="B11" s="85" t="s">
        <v>77</v>
      </c>
      <c r="C11" s="89" t="s">
        <v>75</v>
      </c>
      <c r="D11" s="86">
        <v>8000</v>
      </c>
      <c r="E11" s="87" t="s">
        <v>79</v>
      </c>
      <c r="G11" s="26"/>
      <c r="H11" s="48"/>
      <c r="I11" s="48"/>
      <c r="K11" s="26"/>
      <c r="L11" s="26"/>
      <c r="M11" s="26"/>
      <c r="N11" s="26"/>
      <c r="O11" s="26"/>
      <c r="P11" s="48"/>
      <c r="Q11" s="48"/>
    </row>
    <row r="12" spans="1:17" x14ac:dyDescent="0.7">
      <c r="A12" s="78"/>
      <c r="B12" s="32"/>
      <c r="C12" s="32"/>
      <c r="D12" s="72"/>
      <c r="E12" s="33"/>
      <c r="G12" s="26"/>
      <c r="H12" s="48"/>
      <c r="I12" s="48"/>
      <c r="K12" s="26"/>
      <c r="L12" s="26"/>
      <c r="M12" s="26"/>
      <c r="N12" s="26"/>
      <c r="O12" s="26"/>
      <c r="P12" s="48"/>
      <c r="Q12" s="48"/>
    </row>
    <row r="13" spans="1:17" x14ac:dyDescent="0.7">
      <c r="A13" s="79"/>
      <c r="B13" s="80"/>
      <c r="C13" s="80"/>
      <c r="D13" s="81"/>
      <c r="E13" s="82"/>
      <c r="G13" s="26"/>
      <c r="H13" s="48"/>
      <c r="I13" s="48"/>
      <c r="K13" s="26"/>
      <c r="L13" s="26"/>
      <c r="M13" s="26"/>
      <c r="N13" s="26"/>
      <c r="O13" s="26"/>
      <c r="P13" s="48"/>
      <c r="Q13" s="48"/>
    </row>
    <row r="14" spans="1:17" x14ac:dyDescent="0.7">
      <c r="A14" s="53"/>
      <c r="B14" s="40"/>
      <c r="C14" s="40"/>
      <c r="D14" s="49"/>
      <c r="E14" s="54"/>
      <c r="F14" s="17"/>
      <c r="G14" s="26"/>
      <c r="H14" s="48"/>
      <c r="I14" s="48"/>
      <c r="K14" s="26"/>
      <c r="L14" s="26"/>
      <c r="M14" s="26"/>
      <c r="N14" s="26"/>
      <c r="O14" s="26"/>
      <c r="P14" s="48"/>
      <c r="Q14" s="48"/>
    </row>
    <row r="15" spans="1:17" x14ac:dyDescent="0.7">
      <c r="A15" s="53"/>
      <c r="B15" s="40"/>
      <c r="C15" s="40"/>
      <c r="D15" s="49"/>
      <c r="E15" s="54"/>
      <c r="F15" s="17"/>
      <c r="G15" s="26"/>
      <c r="H15" s="48"/>
      <c r="I15" s="48"/>
      <c r="K15" s="26"/>
      <c r="L15" s="26"/>
      <c r="M15" s="26"/>
      <c r="N15" s="26"/>
      <c r="O15" s="26"/>
      <c r="P15" s="48"/>
      <c r="Q15" s="48"/>
    </row>
    <row r="16" spans="1:17" x14ac:dyDescent="0.7">
      <c r="A16" s="53"/>
      <c r="B16" s="40"/>
      <c r="C16" s="40"/>
      <c r="D16" s="49"/>
      <c r="E16" s="54"/>
      <c r="F16" s="17"/>
      <c r="G16" s="26"/>
      <c r="H16" s="48"/>
      <c r="I16" s="48"/>
      <c r="K16" s="26"/>
      <c r="L16" s="26"/>
      <c r="M16" s="26"/>
      <c r="N16" s="26"/>
      <c r="O16" s="26"/>
      <c r="P16" s="48"/>
      <c r="Q16" s="48"/>
    </row>
    <row r="17" spans="1:17" x14ac:dyDescent="0.7">
      <c r="A17" s="53"/>
      <c r="B17" s="40"/>
      <c r="C17" s="40"/>
      <c r="D17" s="49"/>
      <c r="G17" s="26"/>
      <c r="H17" s="48"/>
      <c r="I17" s="48"/>
      <c r="K17" s="26"/>
      <c r="L17" s="26"/>
      <c r="M17" s="26"/>
      <c r="N17" s="26"/>
      <c r="O17" s="26"/>
      <c r="P17" s="48"/>
      <c r="Q17" s="48"/>
    </row>
    <row r="18" spans="1:17" x14ac:dyDescent="0.7">
      <c r="A18" s="53"/>
      <c r="B18" s="40"/>
      <c r="C18" s="40"/>
      <c r="D18" s="49"/>
      <c r="E18" s="54"/>
      <c r="F18" s="17"/>
      <c r="G18" s="26"/>
      <c r="H18" s="48"/>
      <c r="I18" s="48"/>
      <c r="K18" s="26"/>
      <c r="L18" s="26"/>
      <c r="M18" s="26"/>
      <c r="N18" s="26"/>
      <c r="O18" s="26"/>
      <c r="P18" s="48"/>
      <c r="Q18" s="48"/>
    </row>
    <row r="19" spans="1:17" x14ac:dyDescent="0.7">
      <c r="A19" s="53"/>
      <c r="B19" s="40"/>
      <c r="C19" s="40"/>
      <c r="D19" s="49"/>
      <c r="E19" s="54"/>
      <c r="F19" s="17"/>
      <c r="G19" s="26"/>
      <c r="H19" s="48"/>
      <c r="I19" s="48"/>
      <c r="K19" s="26"/>
      <c r="L19" s="26"/>
      <c r="M19" s="26"/>
      <c r="N19" s="26"/>
      <c r="O19" s="26"/>
      <c r="P19" s="48"/>
      <c r="Q19" s="48"/>
    </row>
    <row r="20" spans="1:17" x14ac:dyDescent="0.7">
      <c r="A20" s="53"/>
      <c r="B20" s="40"/>
      <c r="C20" s="40"/>
      <c r="D20" s="49"/>
      <c r="E20" s="54"/>
      <c r="F20" s="17"/>
      <c r="G20" s="26"/>
      <c r="H20" s="48"/>
      <c r="I20" s="48"/>
      <c r="K20" s="26"/>
      <c r="L20" s="26"/>
      <c r="M20" s="26"/>
      <c r="N20" s="26"/>
      <c r="O20" s="26"/>
      <c r="P20" s="48"/>
      <c r="Q20" s="48"/>
    </row>
    <row r="21" spans="1:17" x14ac:dyDescent="0.7">
      <c r="A21" s="53"/>
      <c r="B21" s="40"/>
      <c r="C21" s="40"/>
      <c r="D21" s="49"/>
      <c r="E21" s="54"/>
      <c r="G21" s="26"/>
      <c r="H21" s="48"/>
      <c r="I21" s="48"/>
      <c r="K21" s="26"/>
      <c r="L21" s="26"/>
      <c r="M21" s="26"/>
      <c r="N21" s="26"/>
      <c r="O21" s="26"/>
      <c r="P21" s="48"/>
      <c r="Q21" s="48"/>
    </row>
    <row r="22" spans="1:17" x14ac:dyDescent="0.7">
      <c r="A22" s="53"/>
      <c r="B22" s="40"/>
      <c r="C22" s="40"/>
      <c r="D22" s="49"/>
      <c r="E22" s="54"/>
      <c r="G22" s="26"/>
      <c r="H22" s="48"/>
      <c r="I22" s="48"/>
      <c r="K22" s="26"/>
      <c r="L22" s="26"/>
      <c r="M22" s="26"/>
      <c r="N22" s="26"/>
      <c r="O22" s="26"/>
      <c r="P22" s="48"/>
      <c r="Q22" s="48"/>
    </row>
    <row r="23" spans="1:17" x14ac:dyDescent="0.7">
      <c r="A23" s="53"/>
      <c r="B23" s="40"/>
      <c r="C23" s="40"/>
      <c r="D23" s="49"/>
      <c r="E23" s="54"/>
      <c r="G23" s="26"/>
      <c r="H23" s="48"/>
      <c r="I23" s="48"/>
      <c r="K23" s="26"/>
      <c r="L23" s="26"/>
      <c r="M23" s="26"/>
      <c r="N23" s="26"/>
      <c r="O23" s="26"/>
      <c r="P23" s="48"/>
      <c r="Q23" s="48"/>
    </row>
    <row r="24" spans="1:17" x14ac:dyDescent="0.7">
      <c r="A24" s="53"/>
      <c r="B24" s="40"/>
      <c r="C24" s="40"/>
      <c r="D24" s="49"/>
      <c r="E24" s="54"/>
      <c r="F24" s="17"/>
      <c r="G24" s="26"/>
      <c r="H24" s="48"/>
      <c r="I24" s="48"/>
      <c r="K24" s="26"/>
      <c r="L24" s="26"/>
      <c r="M24" s="26"/>
      <c r="N24" s="26"/>
      <c r="O24" s="26"/>
      <c r="P24" s="48"/>
      <c r="Q24" s="48"/>
    </row>
    <row r="25" spans="1:17" x14ac:dyDescent="0.7">
      <c r="A25" s="53"/>
      <c r="B25" s="40"/>
      <c r="C25" s="40"/>
      <c r="D25" s="49"/>
      <c r="E25" s="54"/>
      <c r="G25" s="26"/>
      <c r="H25" s="48"/>
      <c r="I25" s="48"/>
      <c r="K25" s="26"/>
      <c r="L25" s="26"/>
      <c r="M25" s="26"/>
      <c r="N25" s="26"/>
      <c r="O25" s="26"/>
      <c r="P25" s="48"/>
      <c r="Q25" s="48"/>
    </row>
    <row r="26" spans="1:17" x14ac:dyDescent="0.7">
      <c r="A26" s="53"/>
      <c r="B26" s="40"/>
      <c r="C26" s="40"/>
      <c r="D26" s="49"/>
      <c r="E26" s="54"/>
      <c r="G26" s="26"/>
      <c r="H26" s="48"/>
      <c r="I26" s="48"/>
      <c r="K26" s="26"/>
      <c r="L26" s="26"/>
      <c r="M26" s="26"/>
      <c r="N26" s="26"/>
      <c r="O26" s="26"/>
      <c r="P26" s="48"/>
      <c r="Q26" s="48"/>
    </row>
    <row r="27" spans="1:17" x14ac:dyDescent="0.7">
      <c r="A27" s="53"/>
      <c r="B27" s="40"/>
      <c r="C27" s="40"/>
      <c r="D27" s="49"/>
      <c r="E27" s="54"/>
      <c r="F27" s="17"/>
      <c r="G27" s="26"/>
      <c r="H27" s="26"/>
      <c r="I27" s="26"/>
      <c r="K27" s="26"/>
      <c r="L27" s="26"/>
      <c r="M27" s="26"/>
      <c r="N27" s="26"/>
      <c r="O27" s="26"/>
      <c r="P27" s="48"/>
      <c r="Q27" s="48"/>
    </row>
    <row r="28" spans="1:17" x14ac:dyDescent="0.7">
      <c r="A28" s="53"/>
      <c r="B28" s="40"/>
      <c r="C28" s="40"/>
      <c r="D28" s="49"/>
      <c r="E28" s="54"/>
      <c r="G28" s="26"/>
      <c r="H28" s="26"/>
      <c r="I28" s="26"/>
      <c r="K28" s="26"/>
      <c r="L28" s="26"/>
      <c r="M28" s="26"/>
      <c r="N28" s="26"/>
      <c r="O28" s="26"/>
      <c r="P28" s="48"/>
      <c r="Q28" s="48"/>
    </row>
    <row r="29" spans="1:17" x14ac:dyDescent="0.7">
      <c r="A29" s="53"/>
      <c r="B29" s="40"/>
      <c r="C29" s="40"/>
      <c r="D29" s="49"/>
      <c r="E29" s="54"/>
      <c r="G29" s="26"/>
      <c r="H29" s="26"/>
      <c r="I29" s="48"/>
      <c r="K29" s="26"/>
      <c r="L29" s="26"/>
      <c r="M29" s="26"/>
      <c r="N29" s="26"/>
      <c r="O29" s="26"/>
      <c r="P29" s="48"/>
      <c r="Q29" s="48"/>
    </row>
    <row r="30" spans="1:17" x14ac:dyDescent="0.7">
      <c r="A30" s="40"/>
      <c r="B30" s="40"/>
      <c r="C30" s="40"/>
      <c r="D30" s="49"/>
      <c r="E30" s="54"/>
      <c r="G30" s="26"/>
      <c r="H30" s="26"/>
      <c r="I30" s="48"/>
      <c r="K30" s="26"/>
      <c r="L30" s="26"/>
      <c r="M30" s="26"/>
      <c r="N30" s="26"/>
      <c r="O30" s="26"/>
      <c r="P30" s="48"/>
      <c r="Q30" s="48"/>
    </row>
    <row r="31" spans="1:17" x14ac:dyDescent="0.7">
      <c r="A31" s="40"/>
      <c r="B31" s="40"/>
      <c r="C31" s="40"/>
      <c r="D31" s="49"/>
      <c r="E31" s="54"/>
      <c r="G31" s="26"/>
      <c r="H31" s="26"/>
      <c r="I31" s="48"/>
      <c r="K31" s="26"/>
      <c r="L31" s="26"/>
      <c r="M31" s="26"/>
      <c r="N31" s="26"/>
      <c r="O31" s="26"/>
      <c r="P31" s="48"/>
      <c r="Q31" s="48"/>
    </row>
    <row r="32" spans="1:17" x14ac:dyDescent="0.7">
      <c r="A32" s="40"/>
      <c r="B32" s="40"/>
      <c r="C32" s="40"/>
      <c r="D32" s="49"/>
      <c r="E32" s="54"/>
      <c r="G32" s="26"/>
      <c r="H32" s="48"/>
      <c r="I32" s="48"/>
      <c r="K32" s="26"/>
      <c r="L32" s="26"/>
      <c r="M32" s="26"/>
      <c r="N32" s="26"/>
      <c r="O32" s="26"/>
      <c r="P32" s="48"/>
      <c r="Q32" s="48"/>
    </row>
    <row r="33" spans="1:17" x14ac:dyDescent="0.7">
      <c r="A33" s="40"/>
      <c r="B33" s="40"/>
      <c r="C33" s="40"/>
      <c r="D33" s="49"/>
      <c r="E33" s="54"/>
      <c r="G33" s="26"/>
      <c r="H33" s="48"/>
      <c r="I33" s="48"/>
      <c r="K33" s="26"/>
      <c r="L33" s="26"/>
      <c r="M33" s="26"/>
      <c r="N33" s="26"/>
      <c r="O33" s="26"/>
      <c r="P33" s="48"/>
      <c r="Q33" s="48"/>
    </row>
    <row r="34" spans="1:17" x14ac:dyDescent="0.7">
      <c r="A34" s="40"/>
      <c r="B34" s="40"/>
      <c r="C34" s="40"/>
      <c r="D34" s="49"/>
      <c r="E34" s="54"/>
      <c r="G34" s="26"/>
      <c r="H34" s="48"/>
      <c r="I34" s="48"/>
      <c r="K34" s="26"/>
      <c r="L34" s="26"/>
      <c r="M34" s="26"/>
      <c r="N34" s="26"/>
      <c r="O34" s="26"/>
      <c r="P34" s="48"/>
      <c r="Q34" s="48"/>
    </row>
    <row r="35" spans="1:17" x14ac:dyDescent="0.7">
      <c r="A35" s="40"/>
      <c r="B35" s="40"/>
      <c r="C35" s="40"/>
      <c r="D35" s="49"/>
      <c r="E35" s="54"/>
      <c r="G35" s="26"/>
      <c r="H35" s="48"/>
      <c r="I35" s="48"/>
      <c r="K35" s="26"/>
      <c r="L35" s="26"/>
      <c r="M35" s="26"/>
      <c r="N35" s="26"/>
      <c r="O35" s="26"/>
      <c r="P35" s="48"/>
      <c r="Q35" s="48"/>
    </row>
    <row r="36" spans="1:17" x14ac:dyDescent="0.7">
      <c r="A36" s="40"/>
      <c r="B36" s="40"/>
      <c r="C36" s="40"/>
      <c r="D36" s="49"/>
      <c r="E36" s="54"/>
      <c r="G36" s="26"/>
      <c r="H36" s="48"/>
      <c r="I36" s="48"/>
      <c r="K36" s="26"/>
      <c r="L36" s="26"/>
      <c r="M36" s="26"/>
      <c r="N36" s="26"/>
      <c r="O36" s="26"/>
      <c r="P36" s="48"/>
      <c r="Q36" s="48"/>
    </row>
    <row r="37" spans="1:17" x14ac:dyDescent="0.7">
      <c r="A37" s="40"/>
      <c r="B37" s="40"/>
      <c r="C37" s="40"/>
      <c r="D37" s="49"/>
      <c r="E37" s="54"/>
      <c r="G37" s="26"/>
      <c r="H37" s="48"/>
      <c r="I37" s="48"/>
      <c r="K37" s="26"/>
      <c r="L37" s="26"/>
      <c r="M37" s="26"/>
      <c r="N37" s="26"/>
      <c r="O37" s="26"/>
      <c r="P37" s="48"/>
      <c r="Q37" s="48"/>
    </row>
    <row r="38" spans="1:17" x14ac:dyDescent="0.7">
      <c r="A38" s="40"/>
      <c r="B38" s="40"/>
      <c r="C38" s="40"/>
      <c r="D38" s="49"/>
      <c r="E38" s="49"/>
      <c r="G38" s="26"/>
      <c r="H38" s="48"/>
      <c r="I38" s="48"/>
      <c r="K38" s="26"/>
      <c r="L38" s="26"/>
      <c r="M38" s="26"/>
      <c r="N38" s="26"/>
      <c r="O38" s="26"/>
      <c r="P38" s="48"/>
      <c r="Q38" s="48"/>
    </row>
    <row r="39" spans="1:17" x14ac:dyDescent="0.7">
      <c r="G39" s="26"/>
      <c r="H39" s="48"/>
      <c r="I39" s="48"/>
      <c r="K39" s="26"/>
      <c r="L39" s="26"/>
      <c r="M39" s="26"/>
      <c r="N39" s="26"/>
      <c r="O39" s="26"/>
      <c r="P39" s="48"/>
      <c r="Q39" s="48"/>
    </row>
    <row r="40" spans="1:17" x14ac:dyDescent="0.7">
      <c r="G40" s="26"/>
      <c r="H40" s="48"/>
      <c r="I40" s="48"/>
      <c r="K40" s="26"/>
      <c r="L40" s="26"/>
      <c r="M40" s="26"/>
      <c r="N40" s="26"/>
      <c r="O40" s="26"/>
      <c r="P40" s="48"/>
      <c r="Q40" s="48"/>
    </row>
    <row r="41" spans="1:17" x14ac:dyDescent="0.7">
      <c r="G41" s="47"/>
      <c r="H41" s="48"/>
      <c r="I41" s="48"/>
      <c r="K41" s="26"/>
      <c r="L41" s="26"/>
      <c r="M41" s="26"/>
      <c r="N41" s="26"/>
      <c r="O41" s="26"/>
      <c r="P41" s="48"/>
      <c r="Q41" s="48"/>
    </row>
    <row r="42" spans="1:17" x14ac:dyDescent="0.7">
      <c r="G42" s="47"/>
      <c r="H42" s="48"/>
      <c r="I42" s="48"/>
      <c r="K42" s="26"/>
      <c r="L42" s="26"/>
      <c r="M42" s="26"/>
      <c r="N42" s="26"/>
      <c r="O42" s="26"/>
      <c r="P42" s="48"/>
      <c r="Q42" s="48"/>
    </row>
    <row r="43" spans="1:17" x14ac:dyDescent="0.7">
      <c r="G43" s="47"/>
      <c r="H43" s="48"/>
      <c r="I43" s="48"/>
      <c r="K43" s="26"/>
      <c r="L43" s="26"/>
      <c r="M43" s="26"/>
      <c r="N43" s="26"/>
      <c r="O43" s="26"/>
      <c r="P43" s="48"/>
      <c r="Q43" s="48"/>
    </row>
    <row r="44" spans="1:17" x14ac:dyDescent="0.7">
      <c r="G44" s="47"/>
      <c r="H44" s="48"/>
      <c r="I44" s="48"/>
      <c r="K44" s="26"/>
      <c r="L44" s="26"/>
      <c r="M44" s="26"/>
      <c r="N44" s="26"/>
      <c r="O44" s="26"/>
      <c r="P44" s="48"/>
      <c r="Q44" s="48"/>
    </row>
    <row r="45" spans="1:17" x14ac:dyDescent="0.7">
      <c r="G45" s="47"/>
      <c r="H45" s="48"/>
      <c r="I45" s="48"/>
      <c r="K45" s="26"/>
      <c r="L45" s="26"/>
      <c r="M45" s="26"/>
      <c r="N45" s="26"/>
      <c r="O45" s="26"/>
      <c r="P45" s="48"/>
      <c r="Q45" s="48"/>
    </row>
    <row r="46" spans="1:17" x14ac:dyDescent="0.7">
      <c r="G46" s="47"/>
      <c r="H46" s="48"/>
      <c r="I46" s="48"/>
      <c r="K46" s="26"/>
      <c r="L46" s="26"/>
      <c r="M46" s="26"/>
      <c r="N46" s="26"/>
      <c r="O46" s="26"/>
      <c r="P46" s="48"/>
      <c r="Q46" s="48"/>
    </row>
    <row r="47" spans="1:17" x14ac:dyDescent="0.7">
      <c r="G47" s="26"/>
      <c r="H47" s="48"/>
      <c r="I47" s="48"/>
      <c r="K47" s="26"/>
      <c r="L47" s="26"/>
      <c r="M47" s="26"/>
      <c r="N47" s="26"/>
      <c r="O47" s="26"/>
      <c r="P47" s="48"/>
      <c r="Q47" s="48"/>
    </row>
    <row r="48" spans="1:17" x14ac:dyDescent="0.7">
      <c r="G48" s="26"/>
      <c r="H48" s="48"/>
      <c r="I48" s="48"/>
      <c r="K48" s="26"/>
      <c r="L48" s="26"/>
      <c r="M48" s="26"/>
      <c r="N48" s="26"/>
      <c r="O48" s="26"/>
      <c r="P48" s="48"/>
      <c r="Q48" s="48"/>
    </row>
    <row r="49" spans="1:17" x14ac:dyDescent="0.7">
      <c r="G49" s="26"/>
      <c r="H49" s="26"/>
      <c r="I49" s="48"/>
      <c r="K49" s="26"/>
      <c r="L49" s="26"/>
      <c r="M49" s="26"/>
      <c r="N49" s="26"/>
      <c r="O49" s="26"/>
      <c r="P49" s="48"/>
      <c r="Q49" s="48"/>
    </row>
    <row r="50" spans="1:17" x14ac:dyDescent="0.7">
      <c r="G50" s="26"/>
      <c r="H50" s="48"/>
      <c r="I50" s="48"/>
      <c r="K50" s="26"/>
      <c r="L50" s="26"/>
      <c r="M50" s="26"/>
      <c r="N50" s="26"/>
      <c r="O50" s="26"/>
      <c r="P50" s="48"/>
      <c r="Q50" s="48"/>
    </row>
    <row r="51" spans="1:17" x14ac:dyDescent="0.7">
      <c r="G51" s="26"/>
      <c r="H51" s="48"/>
      <c r="I51" s="48"/>
      <c r="K51" s="26"/>
      <c r="L51" s="26"/>
      <c r="M51" s="26"/>
      <c r="N51" s="26"/>
      <c r="O51" s="26"/>
      <c r="P51" s="48"/>
      <c r="Q51" s="48"/>
    </row>
    <row r="52" spans="1:17" x14ac:dyDescent="0.7">
      <c r="G52" s="26"/>
      <c r="H52" s="48"/>
      <c r="I52" s="48"/>
      <c r="K52" s="26"/>
      <c r="L52" s="26"/>
      <c r="M52" s="26"/>
      <c r="N52" s="26"/>
      <c r="O52" s="26"/>
      <c r="P52" s="48"/>
      <c r="Q52" s="48"/>
    </row>
    <row r="53" spans="1:17" x14ac:dyDescent="0.7">
      <c r="G53" s="26"/>
      <c r="H53" s="48"/>
      <c r="I53" s="48"/>
      <c r="K53" s="26"/>
      <c r="L53" s="26"/>
      <c r="M53" s="26"/>
      <c r="N53" s="26"/>
      <c r="O53" s="26"/>
      <c r="P53" s="48"/>
      <c r="Q53" s="48"/>
    </row>
    <row r="54" spans="1:17" x14ac:dyDescent="0.7">
      <c r="G54" s="26"/>
      <c r="H54" s="48"/>
      <c r="I54" s="48"/>
      <c r="K54" s="26"/>
      <c r="L54" s="26"/>
      <c r="M54" s="26"/>
      <c r="N54" s="26"/>
      <c r="O54" s="26"/>
      <c r="P54" s="48"/>
      <c r="Q54" s="48"/>
    </row>
    <row r="55" spans="1:17" x14ac:dyDescent="0.7">
      <c r="G55" s="26"/>
      <c r="H55" s="48"/>
      <c r="I55" s="48"/>
      <c r="K55" s="26"/>
      <c r="L55" s="26"/>
      <c r="M55" s="26"/>
      <c r="N55" s="26"/>
      <c r="O55" s="26"/>
      <c r="P55" s="48"/>
      <c r="Q55" s="48"/>
    </row>
    <row r="56" spans="1:17" x14ac:dyDescent="0.7">
      <c r="G56" s="26"/>
      <c r="H56" s="48"/>
      <c r="I56" s="48"/>
      <c r="K56" s="26"/>
      <c r="L56" s="26"/>
      <c r="M56" s="26"/>
      <c r="N56" s="26"/>
      <c r="O56" s="26"/>
      <c r="P56" s="48"/>
      <c r="Q56" s="48"/>
    </row>
    <row r="57" spans="1:17" x14ac:dyDescent="0.7">
      <c r="G57" s="26"/>
      <c r="H57" s="48"/>
      <c r="I57" s="48"/>
      <c r="K57" s="26"/>
      <c r="L57" s="26"/>
      <c r="M57" s="26"/>
      <c r="N57" s="26"/>
      <c r="O57" s="26"/>
      <c r="P57" s="48"/>
      <c r="Q57" s="48"/>
    </row>
    <row r="58" spans="1:17" x14ac:dyDescent="0.7">
      <c r="G58" s="26"/>
      <c r="H58" s="48"/>
      <c r="I58" s="48"/>
      <c r="K58" s="26"/>
      <c r="L58" s="26"/>
      <c r="M58" s="26"/>
      <c r="N58" s="26"/>
      <c r="O58" s="26"/>
      <c r="P58" s="48"/>
      <c r="Q58" s="48"/>
    </row>
    <row r="59" spans="1:17" x14ac:dyDescent="0.7">
      <c r="G59" s="26"/>
      <c r="H59" s="48"/>
      <c r="I59" s="48"/>
      <c r="K59" s="26"/>
      <c r="L59" s="26"/>
      <c r="M59" s="26"/>
      <c r="N59" s="26"/>
      <c r="O59" s="26"/>
      <c r="P59" s="48"/>
      <c r="Q59" s="48"/>
    </row>
    <row r="60" spans="1:17" x14ac:dyDescent="0.7">
      <c r="G60" s="26"/>
      <c r="H60" s="48"/>
      <c r="I60" s="48"/>
      <c r="K60" s="26"/>
      <c r="L60" s="26"/>
      <c r="M60" s="26"/>
      <c r="N60" s="26"/>
      <c r="O60" s="26"/>
      <c r="P60" s="48"/>
      <c r="Q60" s="48"/>
    </row>
    <row r="61" spans="1:17" s="26" customFormat="1" x14ac:dyDescent="0.7">
      <c r="A61" s="16"/>
      <c r="B61" s="16"/>
      <c r="C61" s="16"/>
    </row>
    <row r="65" spans="1:3" s="26" customFormat="1" x14ac:dyDescent="0.7">
      <c r="A65" s="16"/>
      <c r="B65" s="16"/>
      <c r="C65" s="16"/>
    </row>
    <row r="68" spans="1:3" s="26" customFormat="1" x14ac:dyDescent="0.7">
      <c r="A68" s="16"/>
      <c r="B68" s="16"/>
      <c r="C68" s="16"/>
    </row>
    <row r="69" spans="1:3" s="26" customFormat="1" x14ac:dyDescent="0.7">
      <c r="A69" s="16"/>
      <c r="B69" s="16"/>
      <c r="C69" s="16"/>
    </row>
  </sheetData>
  <mergeCells count="1">
    <mergeCell ref="B2:E2"/>
  </mergeCells>
  <pageMargins left="0.25" right="0.25" top="0.75" bottom="0.75" header="0.3" footer="0.3"/>
  <pageSetup paperSize="9" scale="90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opLeftCell="A7" workbookViewId="0">
      <selection activeCell="I24" sqref="I23:I24"/>
    </sheetView>
  </sheetViews>
  <sheetFormatPr defaultRowHeight="15" x14ac:dyDescent="0.25"/>
  <cols>
    <col min="1" max="1" width="15.140625" customWidth="1"/>
    <col min="2" max="2" width="35.42578125" customWidth="1"/>
    <col min="3" max="3" width="12.7109375" customWidth="1"/>
    <col min="4" max="4" width="9.5703125" customWidth="1"/>
    <col min="5" max="5" width="13.7109375" customWidth="1"/>
    <col min="6" max="6" width="13.140625" customWidth="1"/>
    <col min="7" max="7" width="12.28515625" customWidth="1"/>
    <col min="8" max="9" width="14.7109375" customWidth="1"/>
    <col min="10" max="10" width="16" customWidth="1"/>
    <col min="11" max="11" width="14.7109375" customWidth="1"/>
  </cols>
  <sheetData>
    <row r="1" spans="1:11" ht="24.75" x14ac:dyDescent="0.7">
      <c r="A1" s="102" t="s">
        <v>53</v>
      </c>
      <c r="B1" s="102"/>
      <c r="C1" s="102"/>
      <c r="D1" s="102"/>
      <c r="E1" s="102"/>
    </row>
    <row r="2" spans="1:11" ht="24.75" x14ac:dyDescent="0.25">
      <c r="A2" s="68" t="s">
        <v>16</v>
      </c>
      <c r="B2" s="68" t="s">
        <v>17</v>
      </c>
      <c r="C2" s="68" t="s">
        <v>66</v>
      </c>
      <c r="D2" s="68" t="s">
        <v>67</v>
      </c>
      <c r="E2" s="68" t="s">
        <v>0</v>
      </c>
      <c r="F2" s="68" t="s">
        <v>86</v>
      </c>
      <c r="G2" s="68" t="s">
        <v>90</v>
      </c>
      <c r="H2" s="68" t="s">
        <v>87</v>
      </c>
      <c r="I2" s="68"/>
      <c r="J2" s="68" t="s">
        <v>91</v>
      </c>
    </row>
    <row r="3" spans="1:11" ht="24.75" x14ac:dyDescent="0.7">
      <c r="A3" s="25" t="s">
        <v>116</v>
      </c>
      <c r="B3" s="16" t="s">
        <v>117</v>
      </c>
      <c r="C3" s="16">
        <v>4</v>
      </c>
      <c r="D3" s="16">
        <v>48000</v>
      </c>
      <c r="E3" s="16">
        <f>C3*D3</f>
        <v>192000</v>
      </c>
      <c r="F3" s="97"/>
      <c r="G3" s="97"/>
      <c r="H3" s="97"/>
      <c r="I3" s="97"/>
      <c r="J3" s="97"/>
      <c r="K3" s="97"/>
    </row>
    <row r="4" spans="1:11" ht="24.75" x14ac:dyDescent="0.7">
      <c r="A4" s="25"/>
      <c r="B4" s="16" t="s">
        <v>118</v>
      </c>
      <c r="C4" s="16"/>
      <c r="D4" s="16"/>
      <c r="E4" s="16">
        <v>9000</v>
      </c>
      <c r="F4" s="97"/>
      <c r="G4" s="97"/>
      <c r="H4" s="97"/>
      <c r="I4" s="97"/>
      <c r="J4" s="97"/>
    </row>
    <row r="5" spans="1:11" ht="24.75" x14ac:dyDescent="0.7">
      <c r="A5" s="25" t="s">
        <v>121</v>
      </c>
      <c r="B5" s="16" t="s">
        <v>86</v>
      </c>
      <c r="C5" s="16">
        <v>5</v>
      </c>
      <c r="D5" s="16">
        <v>4500</v>
      </c>
      <c r="E5" s="16">
        <f>C5*D5</f>
        <v>22500</v>
      </c>
      <c r="F5" s="97"/>
      <c r="G5" s="97"/>
      <c r="H5" s="97"/>
      <c r="I5" s="97"/>
      <c r="J5" s="97"/>
    </row>
    <row r="6" spans="1:11" ht="24.75" x14ac:dyDescent="0.7">
      <c r="A6" s="25"/>
      <c r="B6" s="16" t="s">
        <v>87</v>
      </c>
      <c r="C6" s="16">
        <v>5</v>
      </c>
      <c r="D6" s="16">
        <v>1000</v>
      </c>
      <c r="E6" s="16">
        <f>C6*D6</f>
        <v>5000</v>
      </c>
      <c r="F6" s="97"/>
      <c r="G6" s="97"/>
      <c r="H6" s="97"/>
      <c r="I6" s="97"/>
      <c r="J6" s="97"/>
    </row>
    <row r="7" spans="1:11" ht="24.75" x14ac:dyDescent="0.7">
      <c r="A7" s="25"/>
      <c r="B7" s="16" t="s">
        <v>129</v>
      </c>
      <c r="C7" s="16"/>
      <c r="D7" s="16"/>
      <c r="E7" s="16">
        <v>10000</v>
      </c>
      <c r="F7" s="97"/>
      <c r="G7" s="97"/>
      <c r="H7" s="97"/>
      <c r="I7" s="97"/>
      <c r="J7" s="97"/>
      <c r="K7" s="97"/>
    </row>
    <row r="8" spans="1:11" ht="24.75" x14ac:dyDescent="0.7">
      <c r="A8" s="25" t="s">
        <v>126</v>
      </c>
      <c r="B8" s="16" t="s">
        <v>86</v>
      </c>
      <c r="C8" s="16">
        <v>4</v>
      </c>
      <c r="D8" s="16">
        <v>4500</v>
      </c>
      <c r="E8" s="16">
        <f>C8*D8</f>
        <v>18000</v>
      </c>
    </row>
    <row r="9" spans="1:11" ht="24.75" x14ac:dyDescent="0.7">
      <c r="A9" s="25" t="s">
        <v>136</v>
      </c>
      <c r="B9" s="16" t="s">
        <v>87</v>
      </c>
      <c r="C9" s="16">
        <v>5</v>
      </c>
      <c r="D9" s="16">
        <v>1000</v>
      </c>
      <c r="E9" s="16">
        <f>C9*D9</f>
        <v>5000</v>
      </c>
    </row>
    <row r="10" spans="1:11" ht="24.75" x14ac:dyDescent="0.7">
      <c r="A10" s="25" t="s">
        <v>148</v>
      </c>
      <c r="B10" s="16" t="s">
        <v>160</v>
      </c>
      <c r="C10" s="16"/>
      <c r="D10" s="16"/>
      <c r="E10" s="16">
        <v>50000</v>
      </c>
    </row>
    <row r="11" spans="1:11" ht="24.75" x14ac:dyDescent="0.7">
      <c r="A11" s="25" t="s">
        <v>139</v>
      </c>
      <c r="B11" s="16" t="s">
        <v>86</v>
      </c>
      <c r="C11" s="16">
        <v>4</v>
      </c>
      <c r="D11" s="16">
        <v>4500</v>
      </c>
      <c r="E11" s="16">
        <f>C11*D11</f>
        <v>18000</v>
      </c>
    </row>
    <row r="12" spans="1:11" ht="24.75" x14ac:dyDescent="0.7">
      <c r="A12" s="25" t="s">
        <v>141</v>
      </c>
      <c r="B12" s="16" t="s">
        <v>160</v>
      </c>
      <c r="C12" s="16"/>
      <c r="D12" s="16"/>
      <c r="E12" s="16">
        <v>100000</v>
      </c>
    </row>
    <row r="13" spans="1:11" ht="24.75" x14ac:dyDescent="0.7">
      <c r="A13" s="25" t="s">
        <v>161</v>
      </c>
      <c r="B13" s="16" t="s">
        <v>86</v>
      </c>
      <c r="C13" s="16">
        <v>5</v>
      </c>
      <c r="D13" s="16">
        <v>4500</v>
      </c>
      <c r="E13" s="16">
        <f>C13*D13</f>
        <v>22500</v>
      </c>
    </row>
    <row r="14" spans="1:11" ht="24.75" x14ac:dyDescent="0.7">
      <c r="A14" s="25"/>
      <c r="B14" s="16" t="s">
        <v>87</v>
      </c>
      <c r="C14" s="16">
        <v>5</v>
      </c>
      <c r="D14" s="16">
        <v>1000</v>
      </c>
      <c r="E14" s="16">
        <f>C14*D14</f>
        <v>5000</v>
      </c>
    </row>
    <row r="15" spans="1:11" ht="24.75" x14ac:dyDescent="0.7">
      <c r="A15" s="25" t="s">
        <v>165</v>
      </c>
      <c r="B15" s="16" t="s">
        <v>86</v>
      </c>
      <c r="C15" s="16">
        <v>10</v>
      </c>
      <c r="D15" s="16">
        <v>4500</v>
      </c>
      <c r="E15" s="16">
        <f>C15*D15</f>
        <v>45000</v>
      </c>
    </row>
    <row r="16" spans="1:11" ht="24.75" x14ac:dyDescent="0.7">
      <c r="A16" s="25"/>
      <c r="B16" s="16" t="s">
        <v>169</v>
      </c>
      <c r="C16" s="16"/>
      <c r="D16" s="16"/>
      <c r="E16" s="16">
        <v>12500</v>
      </c>
    </row>
    <row r="17" spans="1:5" ht="24.75" x14ac:dyDescent="0.7">
      <c r="A17" s="25" t="s">
        <v>167</v>
      </c>
      <c r="B17" s="16" t="s">
        <v>129</v>
      </c>
      <c r="C17" s="16"/>
      <c r="D17" s="16"/>
      <c r="E17" s="16">
        <v>20000</v>
      </c>
    </row>
    <row r="18" spans="1:5" ht="24.75" x14ac:dyDescent="0.7">
      <c r="A18" s="25"/>
      <c r="B18" s="16" t="s">
        <v>170</v>
      </c>
      <c r="C18" s="16"/>
      <c r="D18" s="16"/>
      <c r="E18" s="16">
        <v>150000</v>
      </c>
    </row>
    <row r="19" spans="1:5" ht="24.75" x14ac:dyDescent="0.7">
      <c r="A19" s="25" t="s">
        <v>168</v>
      </c>
      <c r="B19" s="16" t="s">
        <v>87</v>
      </c>
      <c r="C19" s="16">
        <v>5</v>
      </c>
      <c r="D19" s="16">
        <v>1000</v>
      </c>
      <c r="E19" s="16">
        <f>C19*D19</f>
        <v>5000</v>
      </c>
    </row>
    <row r="20" spans="1:5" ht="24.75" x14ac:dyDescent="0.7">
      <c r="A20" s="25"/>
      <c r="B20" s="16"/>
      <c r="C20" s="16"/>
      <c r="D20" s="16"/>
      <c r="E20" s="16"/>
    </row>
    <row r="21" spans="1:5" ht="24.75" x14ac:dyDescent="0.7">
      <c r="A21" s="25"/>
      <c r="B21" s="16"/>
      <c r="C21" s="16"/>
      <c r="D21" s="16"/>
      <c r="E21" s="16"/>
    </row>
    <row r="22" spans="1:5" ht="24.75" x14ac:dyDescent="0.7">
      <c r="A22" s="25"/>
      <c r="B22" s="16"/>
      <c r="C22" s="16"/>
      <c r="D22" s="16"/>
      <c r="E22" s="16"/>
    </row>
    <row r="23" spans="1:5" ht="24.75" x14ac:dyDescent="0.7">
      <c r="A23" s="25"/>
      <c r="B23" s="16"/>
      <c r="C23" s="16"/>
      <c r="D23" s="16"/>
      <c r="E23" s="16"/>
    </row>
    <row r="24" spans="1:5" ht="24.75" x14ac:dyDescent="0.7">
      <c r="A24" s="25"/>
      <c r="B24" s="16"/>
      <c r="C24" s="16"/>
      <c r="D24" s="16"/>
      <c r="E24" s="16"/>
    </row>
    <row r="25" spans="1:5" ht="24.75" x14ac:dyDescent="0.7">
      <c r="A25" s="25"/>
      <c r="B25" s="16"/>
      <c r="C25" s="16"/>
      <c r="D25" s="16"/>
      <c r="E25" s="16"/>
    </row>
    <row r="26" spans="1:5" ht="24.75" x14ac:dyDescent="0.7">
      <c r="A26" s="25"/>
      <c r="B26" s="16"/>
      <c r="C26" s="16"/>
      <c r="D26" s="16"/>
      <c r="E26" s="16"/>
    </row>
    <row r="27" spans="1:5" ht="24.75" x14ac:dyDescent="0.7">
      <c r="A27" s="25"/>
      <c r="B27" s="16"/>
      <c r="C27" s="16"/>
      <c r="D27" s="16"/>
      <c r="E27" s="16"/>
    </row>
    <row r="28" spans="1:5" ht="24.75" x14ac:dyDescent="0.7">
      <c r="A28" s="25"/>
      <c r="B28" s="68" t="s">
        <v>54</v>
      </c>
      <c r="C28" s="68"/>
      <c r="D28" s="68"/>
      <c r="E28" s="17">
        <f>SUM(E3:E27)</f>
        <v>689500</v>
      </c>
    </row>
    <row r="29" spans="1:5" ht="24.75" x14ac:dyDescent="0.7">
      <c r="A29" s="16"/>
      <c r="B29" s="16"/>
      <c r="C29" s="16"/>
      <c r="D29" s="16"/>
      <c r="E29" s="16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122"/>
  <sheetViews>
    <sheetView showZeros="0" tabSelected="1" topLeftCell="A64" zoomScale="85" zoomScaleNormal="85" workbookViewId="0">
      <selection activeCell="T78" sqref="T78"/>
    </sheetView>
  </sheetViews>
  <sheetFormatPr defaultRowHeight="24.75" x14ac:dyDescent="0.7"/>
  <cols>
    <col min="1" max="1" width="14.5703125" style="16" customWidth="1"/>
    <col min="2" max="2" width="10.5703125" style="16" customWidth="1"/>
    <col min="3" max="3" width="11.140625" style="16" customWidth="1"/>
    <col min="4" max="4" width="10.5703125" style="16" customWidth="1"/>
    <col min="5" max="5" width="13.140625" style="16" customWidth="1"/>
    <col min="6" max="8" width="8.85546875" style="16" customWidth="1"/>
    <col min="9" max="9" width="12.28515625" style="16" customWidth="1"/>
    <col min="10" max="10" width="12.7109375" style="16" customWidth="1"/>
    <col min="11" max="11" width="10.85546875" style="16" customWidth="1"/>
    <col min="12" max="12" width="13.140625" style="16" customWidth="1"/>
    <col min="13" max="13" width="14.28515625" style="26" customWidth="1"/>
    <col min="14" max="14" width="0.85546875" style="26" customWidth="1"/>
    <col min="15" max="15" width="16.7109375" style="16" customWidth="1"/>
    <col min="16" max="16" width="18.5703125" style="16" customWidth="1"/>
    <col min="17" max="17" width="11" style="16" customWidth="1"/>
    <col min="18" max="18" width="10.42578125" style="26" customWidth="1"/>
    <col min="19" max="19" width="11.7109375" style="26" customWidth="1"/>
    <col min="20" max="20" width="14.85546875" style="26" customWidth="1"/>
    <col min="21" max="21" width="10.7109375" style="26" customWidth="1"/>
    <col min="22" max="22" width="13.42578125" style="26" customWidth="1"/>
    <col min="23" max="24" width="10.7109375" style="26" customWidth="1"/>
    <col min="25" max="25" width="19" style="26" customWidth="1"/>
    <col min="26" max="26" width="15.28515625" style="16" customWidth="1"/>
    <col min="27" max="27" width="7.85546875" style="16" customWidth="1"/>
    <col min="28" max="28" width="14.7109375" style="16" customWidth="1"/>
    <col min="29" max="29" width="17.7109375" style="16" customWidth="1"/>
    <col min="30" max="16384" width="9.140625" style="16"/>
  </cols>
  <sheetData>
    <row r="3" spans="1:28" x14ac:dyDescent="0.7">
      <c r="A3" s="17" t="s">
        <v>10</v>
      </c>
      <c r="O3" s="17" t="s">
        <v>11</v>
      </c>
    </row>
    <row r="4" spans="1:28" x14ac:dyDescent="0.7">
      <c r="A4" s="106" t="s">
        <v>15</v>
      </c>
      <c r="B4" s="109" t="s">
        <v>25</v>
      </c>
      <c r="C4" s="110"/>
      <c r="D4" s="110"/>
      <c r="E4" s="111"/>
      <c r="F4" s="109" t="s">
        <v>31</v>
      </c>
      <c r="G4" s="110"/>
      <c r="H4" s="110"/>
      <c r="I4" s="111"/>
      <c r="J4" s="112" t="s">
        <v>88</v>
      </c>
      <c r="K4" s="113"/>
      <c r="L4" s="114"/>
      <c r="M4" s="106" t="s">
        <v>0</v>
      </c>
      <c r="N4" s="28"/>
      <c r="O4" s="106" t="s">
        <v>15</v>
      </c>
      <c r="P4" s="106" t="s">
        <v>13</v>
      </c>
      <c r="Q4" s="112" t="s">
        <v>14</v>
      </c>
      <c r="R4" s="114"/>
      <c r="S4" s="106" t="s">
        <v>12</v>
      </c>
      <c r="T4" s="45" t="s">
        <v>84</v>
      </c>
      <c r="U4" s="106" t="s">
        <v>49</v>
      </c>
      <c r="V4" s="91" t="s">
        <v>47</v>
      </c>
      <c r="W4" s="91" t="s">
        <v>49</v>
      </c>
      <c r="X4" s="91" t="s">
        <v>81</v>
      </c>
      <c r="Y4" s="106" t="s">
        <v>50</v>
      </c>
    </row>
    <row r="5" spans="1:28" x14ac:dyDescent="0.7">
      <c r="A5" s="107"/>
      <c r="B5" s="62" t="s">
        <v>45</v>
      </c>
      <c r="C5" s="46" t="s">
        <v>46</v>
      </c>
      <c r="D5" s="95" t="s">
        <v>12</v>
      </c>
      <c r="E5" s="34" t="s">
        <v>52</v>
      </c>
      <c r="F5" s="63" t="s">
        <v>45</v>
      </c>
      <c r="G5" s="34" t="s">
        <v>46</v>
      </c>
      <c r="H5" s="94" t="s">
        <v>12</v>
      </c>
      <c r="I5" s="34" t="s">
        <v>52</v>
      </c>
      <c r="J5" s="34" t="s">
        <v>66</v>
      </c>
      <c r="K5" s="94" t="s">
        <v>12</v>
      </c>
      <c r="L5" s="34" t="s">
        <v>8</v>
      </c>
      <c r="M5" s="107"/>
      <c r="N5" s="35"/>
      <c r="O5" s="107"/>
      <c r="P5" s="107"/>
      <c r="Q5" s="63" t="s">
        <v>45</v>
      </c>
      <c r="R5" s="34" t="s">
        <v>46</v>
      </c>
      <c r="S5" s="107"/>
      <c r="T5" s="46" t="s">
        <v>48</v>
      </c>
      <c r="U5" s="107"/>
      <c r="V5" s="92" t="s">
        <v>48</v>
      </c>
      <c r="W5" s="92" t="s">
        <v>57</v>
      </c>
      <c r="X5" s="92" t="s">
        <v>49</v>
      </c>
      <c r="Y5" s="107"/>
      <c r="AB5" s="18"/>
    </row>
    <row r="6" spans="1:28" x14ac:dyDescent="0.7">
      <c r="A6" s="31" t="s">
        <v>116</v>
      </c>
      <c r="B6" s="32"/>
      <c r="C6" s="32"/>
      <c r="D6" s="96"/>
      <c r="E6" s="32"/>
      <c r="F6" s="32"/>
      <c r="G6" s="32"/>
      <c r="H6" s="32"/>
      <c r="I6" s="32"/>
      <c r="J6" s="32">
        <v>30</v>
      </c>
      <c r="K6" s="32">
        <v>5500</v>
      </c>
      <c r="L6" s="32">
        <f>J6*K6</f>
        <v>165000</v>
      </c>
      <c r="M6" s="33">
        <f>+L6</f>
        <v>165000</v>
      </c>
      <c r="N6" s="27"/>
      <c r="O6" s="31" t="s">
        <v>116</v>
      </c>
      <c r="P6" s="32" t="s">
        <v>119</v>
      </c>
      <c r="Q6" s="27">
        <v>5</v>
      </c>
      <c r="R6" s="27"/>
      <c r="S6" s="33">
        <v>2000</v>
      </c>
      <c r="T6" s="33">
        <f t="shared" ref="T6:T14" si="0">Q6*S6</f>
        <v>10000</v>
      </c>
      <c r="U6" s="33"/>
      <c r="V6" s="33"/>
      <c r="W6" s="33"/>
      <c r="X6" s="33"/>
      <c r="Y6" s="33"/>
    </row>
    <row r="7" spans="1:28" x14ac:dyDescent="0.7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3"/>
      <c r="N7" s="27"/>
      <c r="O7" s="31"/>
      <c r="P7" s="32"/>
      <c r="Q7" s="27">
        <v>5</v>
      </c>
      <c r="R7" s="27"/>
      <c r="S7" s="33">
        <v>2400</v>
      </c>
      <c r="T7" s="33">
        <f t="shared" si="0"/>
        <v>12000</v>
      </c>
      <c r="U7" s="33"/>
      <c r="V7" s="33"/>
      <c r="W7" s="33"/>
      <c r="X7" s="33">
        <f>+U7</f>
        <v>0</v>
      </c>
      <c r="Y7" s="33"/>
    </row>
    <row r="8" spans="1:28" x14ac:dyDescent="0.7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27"/>
      <c r="O8" s="31"/>
      <c r="P8" s="32" t="s">
        <v>120</v>
      </c>
      <c r="Q8" s="27">
        <v>10</v>
      </c>
      <c r="R8" s="27"/>
      <c r="S8" s="33">
        <v>2000</v>
      </c>
      <c r="T8" s="33">
        <f t="shared" si="0"/>
        <v>20000</v>
      </c>
      <c r="U8" s="33"/>
      <c r="V8" s="33"/>
      <c r="W8" s="33"/>
      <c r="X8" s="33"/>
      <c r="Y8" s="33"/>
    </row>
    <row r="9" spans="1:28" x14ac:dyDescent="0.7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3"/>
      <c r="N9" s="27"/>
      <c r="O9" s="53"/>
      <c r="P9" s="32"/>
      <c r="Q9" s="27">
        <v>10</v>
      </c>
      <c r="R9" s="27"/>
      <c r="S9" s="33">
        <v>2400</v>
      </c>
      <c r="T9" s="33">
        <f t="shared" si="0"/>
        <v>24000</v>
      </c>
      <c r="U9" s="33"/>
      <c r="V9" s="33"/>
      <c r="W9" s="33"/>
      <c r="X9" s="33"/>
      <c r="Y9" s="33"/>
    </row>
    <row r="10" spans="1:28" x14ac:dyDescent="0.7">
      <c r="A10" s="31" t="s">
        <v>121</v>
      </c>
      <c r="B10" s="32"/>
      <c r="C10" s="32"/>
      <c r="D10" s="32"/>
      <c r="E10" s="32"/>
      <c r="F10" s="32"/>
      <c r="G10" s="32"/>
      <c r="H10" s="32"/>
      <c r="I10" s="32"/>
      <c r="J10" s="32">
        <v>30</v>
      </c>
      <c r="K10" s="32">
        <v>5500</v>
      </c>
      <c r="L10" s="32">
        <f>J10*K10</f>
        <v>165000</v>
      </c>
      <c r="M10" s="33">
        <f>+L10</f>
        <v>165000</v>
      </c>
      <c r="N10" s="27"/>
      <c r="O10" s="31" t="s">
        <v>121</v>
      </c>
      <c r="P10" s="32" t="s">
        <v>122</v>
      </c>
      <c r="Q10" s="27">
        <v>15</v>
      </c>
      <c r="R10" s="27"/>
      <c r="S10" s="33">
        <v>2000</v>
      </c>
      <c r="T10" s="33">
        <f t="shared" si="0"/>
        <v>30000</v>
      </c>
      <c r="U10" s="33"/>
      <c r="V10" s="33"/>
      <c r="W10" s="33"/>
      <c r="X10" s="33">
        <f>+U10</f>
        <v>0</v>
      </c>
      <c r="Y10" s="33"/>
    </row>
    <row r="11" spans="1:28" x14ac:dyDescent="0.7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27"/>
      <c r="O11" s="31"/>
      <c r="P11" s="32"/>
      <c r="Q11" s="27">
        <v>15</v>
      </c>
      <c r="R11" s="27"/>
      <c r="S11" s="33">
        <v>2400</v>
      </c>
      <c r="T11" s="33">
        <f t="shared" si="0"/>
        <v>36000</v>
      </c>
      <c r="U11" s="33"/>
      <c r="V11" s="33"/>
      <c r="W11" s="33"/>
      <c r="X11" s="33">
        <f>+U11</f>
        <v>0</v>
      </c>
      <c r="Y11" s="33"/>
    </row>
    <row r="12" spans="1:28" x14ac:dyDescent="0.7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27"/>
      <c r="O12" s="31"/>
      <c r="P12" s="32" t="s">
        <v>123</v>
      </c>
      <c r="Q12" s="27">
        <v>20</v>
      </c>
      <c r="R12" s="27"/>
      <c r="S12" s="33">
        <v>2000</v>
      </c>
      <c r="T12" s="33">
        <f t="shared" si="0"/>
        <v>40000</v>
      </c>
      <c r="U12" s="33"/>
      <c r="V12" s="33"/>
      <c r="W12" s="33"/>
      <c r="X12" s="33"/>
      <c r="Y12" s="33"/>
    </row>
    <row r="13" spans="1:28" x14ac:dyDescent="0.7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27"/>
      <c r="O13" s="31"/>
      <c r="P13" s="32" t="s">
        <v>124</v>
      </c>
      <c r="Q13" s="27">
        <v>30</v>
      </c>
      <c r="R13" s="27"/>
      <c r="S13" s="33">
        <v>2000</v>
      </c>
      <c r="T13" s="33">
        <f t="shared" si="0"/>
        <v>60000</v>
      </c>
      <c r="U13" s="33"/>
      <c r="V13" s="33"/>
      <c r="W13" s="33"/>
      <c r="X13" s="33"/>
      <c r="Y13" s="33"/>
    </row>
    <row r="14" spans="1:28" x14ac:dyDescent="0.7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27"/>
      <c r="O14" s="31"/>
      <c r="P14" s="32"/>
      <c r="Q14" s="27">
        <v>15</v>
      </c>
      <c r="R14" s="27"/>
      <c r="S14" s="33">
        <v>2400</v>
      </c>
      <c r="T14" s="33">
        <f t="shared" si="0"/>
        <v>36000</v>
      </c>
      <c r="U14" s="33"/>
      <c r="V14" s="33"/>
      <c r="W14" s="33"/>
      <c r="X14" s="33"/>
      <c r="Y14" s="33"/>
    </row>
    <row r="15" spans="1:28" x14ac:dyDescent="0.7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27"/>
      <c r="O15" s="31"/>
      <c r="P15" s="32" t="s">
        <v>125</v>
      </c>
      <c r="Q15" s="27"/>
      <c r="R15" s="27"/>
      <c r="S15" s="33"/>
      <c r="T15" s="33">
        <v>28000</v>
      </c>
      <c r="U15" s="33"/>
      <c r="V15" s="33"/>
      <c r="W15" s="33"/>
      <c r="X15" s="33"/>
      <c r="Y15" s="33"/>
    </row>
    <row r="16" spans="1:28" x14ac:dyDescent="0.7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27"/>
      <c r="O16" s="31" t="s">
        <v>126</v>
      </c>
      <c r="P16" s="32" t="s">
        <v>108</v>
      </c>
      <c r="Q16" s="27">
        <v>20</v>
      </c>
      <c r="R16" s="27"/>
      <c r="S16" s="33">
        <v>2000</v>
      </c>
      <c r="T16" s="33">
        <f t="shared" ref="T16:T25" si="1">Q16*S16</f>
        <v>40000</v>
      </c>
      <c r="U16" s="33"/>
      <c r="V16" s="33"/>
      <c r="W16" s="33"/>
      <c r="X16" s="33">
        <f>+U16</f>
        <v>0</v>
      </c>
      <c r="Y16" s="33"/>
    </row>
    <row r="17" spans="1:25" x14ac:dyDescent="0.7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27"/>
      <c r="O17" s="31"/>
      <c r="P17" s="32" t="s">
        <v>127</v>
      </c>
      <c r="Q17" s="27">
        <v>10</v>
      </c>
      <c r="R17" s="27"/>
      <c r="S17" s="33">
        <v>2400</v>
      </c>
      <c r="T17" s="33">
        <f t="shared" si="1"/>
        <v>24000</v>
      </c>
      <c r="U17" s="33"/>
      <c r="V17" s="33"/>
      <c r="W17" s="33"/>
      <c r="X17" s="33"/>
      <c r="Y17" s="33"/>
    </row>
    <row r="18" spans="1:25" x14ac:dyDescent="0.7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27"/>
      <c r="O18" s="31"/>
      <c r="P18" s="32"/>
      <c r="Q18" s="27">
        <v>10</v>
      </c>
      <c r="R18" s="27"/>
      <c r="S18" s="33">
        <v>2000</v>
      </c>
      <c r="T18" s="33">
        <f t="shared" si="1"/>
        <v>20000</v>
      </c>
      <c r="U18" s="33"/>
      <c r="V18" s="33"/>
      <c r="W18" s="33"/>
      <c r="X18" s="33"/>
      <c r="Y18" s="33"/>
    </row>
    <row r="19" spans="1:25" x14ac:dyDescent="0.7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27"/>
      <c r="O19" s="31"/>
      <c r="P19" s="32"/>
      <c r="Q19" s="27">
        <v>5</v>
      </c>
      <c r="R19" s="27"/>
      <c r="S19" s="33">
        <v>2000</v>
      </c>
      <c r="T19" s="33">
        <f t="shared" si="1"/>
        <v>10000</v>
      </c>
      <c r="U19" s="33"/>
      <c r="V19" s="33"/>
      <c r="W19" s="33"/>
      <c r="X19" s="33"/>
      <c r="Y19" s="33"/>
    </row>
    <row r="20" spans="1:25" x14ac:dyDescent="0.7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27"/>
      <c r="O20" s="31"/>
      <c r="P20" s="32" t="s">
        <v>128</v>
      </c>
      <c r="Q20" s="27">
        <v>20</v>
      </c>
      <c r="R20" s="27"/>
      <c r="S20" s="33">
        <v>2000</v>
      </c>
      <c r="T20" s="33">
        <f t="shared" si="1"/>
        <v>40000</v>
      </c>
      <c r="U20" s="33"/>
      <c r="V20" s="33"/>
      <c r="W20" s="33"/>
      <c r="X20" s="33"/>
      <c r="Y20" s="33"/>
    </row>
    <row r="21" spans="1:25" x14ac:dyDescent="0.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27"/>
      <c r="O21" s="32"/>
      <c r="P21" s="32" t="s">
        <v>119</v>
      </c>
      <c r="Q21" s="27">
        <v>5</v>
      </c>
      <c r="R21" s="27"/>
      <c r="S21" s="33">
        <v>2000</v>
      </c>
      <c r="T21" s="33">
        <f t="shared" si="1"/>
        <v>10000</v>
      </c>
      <c r="U21" s="33"/>
      <c r="V21" s="33"/>
      <c r="W21" s="33"/>
      <c r="X21" s="33"/>
      <c r="Y21" s="33"/>
    </row>
    <row r="22" spans="1:25" x14ac:dyDescent="0.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27"/>
      <c r="O22" s="31"/>
      <c r="P22" s="32"/>
      <c r="Q22" s="27">
        <v>15</v>
      </c>
      <c r="R22" s="27"/>
      <c r="S22" s="33">
        <v>2400</v>
      </c>
      <c r="T22" s="33">
        <f t="shared" si="1"/>
        <v>36000</v>
      </c>
      <c r="U22" s="33"/>
      <c r="V22" s="33"/>
      <c r="W22" s="33"/>
      <c r="X22" s="33"/>
      <c r="Y22" s="33"/>
    </row>
    <row r="23" spans="1:25" x14ac:dyDescent="0.7">
      <c r="A23" s="31" t="s">
        <v>136</v>
      </c>
      <c r="B23" s="32"/>
      <c r="C23" s="32"/>
      <c r="D23" s="32"/>
      <c r="E23" s="32"/>
      <c r="F23" s="32"/>
      <c r="G23" s="32"/>
      <c r="H23" s="32"/>
      <c r="I23" s="32"/>
      <c r="J23" s="32">
        <v>34</v>
      </c>
      <c r="K23" s="32">
        <v>5500</v>
      </c>
      <c r="L23" s="32">
        <f>J23*K23</f>
        <v>187000</v>
      </c>
      <c r="M23" s="98">
        <f>+L23</f>
        <v>187000</v>
      </c>
      <c r="N23" s="27"/>
      <c r="O23" s="31" t="s">
        <v>136</v>
      </c>
      <c r="P23" s="32" t="s">
        <v>137</v>
      </c>
      <c r="Q23" s="99">
        <v>15</v>
      </c>
      <c r="R23" s="99"/>
      <c r="S23" s="98">
        <v>2000</v>
      </c>
      <c r="T23" s="33">
        <f t="shared" si="1"/>
        <v>30000</v>
      </c>
      <c r="U23" s="98"/>
      <c r="V23" s="98"/>
      <c r="W23" s="98"/>
      <c r="X23" s="98"/>
      <c r="Y23" s="33"/>
    </row>
    <row r="24" spans="1:25" x14ac:dyDescent="0.7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98"/>
      <c r="N24" s="27"/>
      <c r="O24" s="32"/>
      <c r="P24" s="32"/>
      <c r="Q24" s="99">
        <v>15</v>
      </c>
      <c r="R24" s="99"/>
      <c r="S24" s="98">
        <v>2400</v>
      </c>
      <c r="T24" s="98">
        <f t="shared" si="1"/>
        <v>36000</v>
      </c>
      <c r="U24" s="98"/>
      <c r="V24" s="98"/>
      <c r="W24" s="98"/>
      <c r="X24" s="98"/>
      <c r="Y24" s="33"/>
    </row>
    <row r="25" spans="1:25" x14ac:dyDescent="0.7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98"/>
      <c r="N25" s="27"/>
      <c r="O25" s="32"/>
      <c r="P25" s="32" t="s">
        <v>138</v>
      </c>
      <c r="Q25" s="99">
        <v>30</v>
      </c>
      <c r="R25" s="99"/>
      <c r="S25" s="98">
        <v>2400</v>
      </c>
      <c r="T25" s="98">
        <f t="shared" si="1"/>
        <v>72000</v>
      </c>
      <c r="U25" s="98"/>
      <c r="V25" s="98"/>
      <c r="W25" s="98"/>
      <c r="X25" s="98"/>
      <c r="Y25" s="33"/>
    </row>
    <row r="26" spans="1:25" x14ac:dyDescent="0.7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98"/>
      <c r="N26" s="27"/>
      <c r="O26" s="32"/>
      <c r="P26" s="32" t="s">
        <v>125</v>
      </c>
      <c r="Q26" s="99"/>
      <c r="R26" s="99"/>
      <c r="S26" s="98"/>
      <c r="T26" s="98">
        <v>8000</v>
      </c>
      <c r="U26" s="98"/>
      <c r="V26" s="98"/>
      <c r="W26" s="98"/>
      <c r="X26" s="98"/>
      <c r="Y26" s="33"/>
    </row>
    <row r="27" spans="1:25" x14ac:dyDescent="0.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98"/>
      <c r="N27" s="27"/>
      <c r="O27" s="31" t="s">
        <v>139</v>
      </c>
      <c r="P27" s="32" t="s">
        <v>124</v>
      </c>
      <c r="Q27" s="27">
        <v>25</v>
      </c>
      <c r="R27" s="27"/>
      <c r="S27" s="33">
        <v>2000</v>
      </c>
      <c r="T27" s="33">
        <f t="shared" ref="T27:T39" si="2">Q27*S27</f>
        <v>50000</v>
      </c>
      <c r="U27" s="98"/>
      <c r="V27" s="98"/>
      <c r="W27" s="98"/>
      <c r="X27" s="98"/>
      <c r="Y27" s="33"/>
    </row>
    <row r="28" spans="1:25" x14ac:dyDescent="0.7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98"/>
      <c r="N28" s="27"/>
      <c r="O28" s="32"/>
      <c r="P28" s="32"/>
      <c r="Q28" s="99">
        <v>10</v>
      </c>
      <c r="R28" s="99"/>
      <c r="S28" s="98">
        <v>2400</v>
      </c>
      <c r="T28" s="98">
        <f t="shared" si="2"/>
        <v>24000</v>
      </c>
      <c r="U28" s="98"/>
      <c r="V28" s="98"/>
      <c r="W28" s="98"/>
      <c r="X28" s="98"/>
      <c r="Y28" s="33"/>
    </row>
    <row r="29" spans="1:25" x14ac:dyDescent="0.7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98"/>
      <c r="N29" s="27"/>
      <c r="O29" s="32"/>
      <c r="P29" s="32" t="s">
        <v>145</v>
      </c>
      <c r="Q29" s="99">
        <v>5</v>
      </c>
      <c r="R29" s="99"/>
      <c r="S29" s="98">
        <v>2200</v>
      </c>
      <c r="T29" s="98">
        <f t="shared" si="2"/>
        <v>11000</v>
      </c>
      <c r="U29" s="98"/>
      <c r="V29" s="98"/>
      <c r="W29" s="98"/>
      <c r="X29" s="98"/>
      <c r="Y29" s="33"/>
    </row>
    <row r="30" spans="1:25" x14ac:dyDescent="0.7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98"/>
      <c r="N30" s="27"/>
      <c r="O30" s="32"/>
      <c r="P30" s="32" t="s">
        <v>140</v>
      </c>
      <c r="Q30" s="99">
        <v>12</v>
      </c>
      <c r="R30" s="99"/>
      <c r="S30" s="98">
        <v>2400</v>
      </c>
      <c r="T30" s="98">
        <f t="shared" si="2"/>
        <v>28800</v>
      </c>
      <c r="U30" s="98"/>
      <c r="V30" s="98"/>
      <c r="W30" s="98"/>
      <c r="X30" s="98"/>
      <c r="Y30" s="33"/>
    </row>
    <row r="31" spans="1:25" x14ac:dyDescent="0.7">
      <c r="A31" s="31" t="s">
        <v>141</v>
      </c>
      <c r="B31" s="32"/>
      <c r="C31" s="32"/>
      <c r="D31" s="32"/>
      <c r="E31" s="32"/>
      <c r="F31" s="32"/>
      <c r="G31" s="32"/>
      <c r="H31" s="32"/>
      <c r="I31" s="32"/>
      <c r="J31" s="32">
        <v>32</v>
      </c>
      <c r="K31" s="32">
        <v>5500</v>
      </c>
      <c r="L31" s="32">
        <f>J31*K31</f>
        <v>176000</v>
      </c>
      <c r="M31" s="98">
        <f>+L31</f>
        <v>176000</v>
      </c>
      <c r="N31" s="27"/>
      <c r="O31" s="31" t="s">
        <v>141</v>
      </c>
      <c r="P31" s="32" t="s">
        <v>108</v>
      </c>
      <c r="Q31" s="27">
        <v>10</v>
      </c>
      <c r="R31" s="99"/>
      <c r="S31" s="98">
        <v>2400</v>
      </c>
      <c r="T31" s="98">
        <f t="shared" si="2"/>
        <v>24000</v>
      </c>
      <c r="U31" s="98">
        <v>24000</v>
      </c>
      <c r="V31" s="98"/>
      <c r="W31" s="98"/>
      <c r="X31" s="33">
        <f>+U31</f>
        <v>24000</v>
      </c>
      <c r="Y31" s="33"/>
    </row>
    <row r="32" spans="1:25" x14ac:dyDescent="0.7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98"/>
      <c r="N32" s="27"/>
      <c r="O32" s="32"/>
      <c r="P32" s="32" t="s">
        <v>142</v>
      </c>
      <c r="Q32" s="99">
        <v>15</v>
      </c>
      <c r="R32" s="99"/>
      <c r="S32" s="98">
        <v>2000</v>
      </c>
      <c r="T32" s="98">
        <f t="shared" si="2"/>
        <v>30000</v>
      </c>
      <c r="U32" s="98"/>
      <c r="V32" s="98"/>
      <c r="W32" s="98"/>
      <c r="X32" s="33">
        <f t="shared" ref="X32:X96" si="3">+U32</f>
        <v>0</v>
      </c>
      <c r="Y32" s="33"/>
    </row>
    <row r="33" spans="1:25" x14ac:dyDescent="0.7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98"/>
      <c r="N33" s="27"/>
      <c r="O33" s="32"/>
      <c r="P33" s="32"/>
      <c r="Q33" s="99">
        <v>15</v>
      </c>
      <c r="R33" s="99"/>
      <c r="S33" s="98">
        <v>2400</v>
      </c>
      <c r="T33" s="98">
        <f t="shared" si="2"/>
        <v>36000</v>
      </c>
      <c r="U33" s="98"/>
      <c r="V33" s="98"/>
      <c r="W33" s="98"/>
      <c r="X33" s="33">
        <f t="shared" si="3"/>
        <v>0</v>
      </c>
      <c r="Y33" s="33"/>
    </row>
    <row r="34" spans="1:25" x14ac:dyDescent="0.7">
      <c r="A34" s="31"/>
      <c r="B34" s="77"/>
      <c r="C34" s="77"/>
      <c r="D34" s="77"/>
      <c r="E34" s="77"/>
      <c r="F34" s="77"/>
      <c r="G34" s="77"/>
      <c r="H34" s="77"/>
      <c r="I34" s="77"/>
      <c r="J34" s="32"/>
      <c r="K34" s="32"/>
      <c r="L34" s="32"/>
      <c r="M34" s="33"/>
      <c r="N34" s="27"/>
      <c r="O34" s="31"/>
      <c r="P34" s="32" t="s">
        <v>119</v>
      </c>
      <c r="Q34" s="99">
        <v>10</v>
      </c>
      <c r="R34" s="99"/>
      <c r="S34" s="98">
        <v>2000</v>
      </c>
      <c r="T34" s="98">
        <f t="shared" si="2"/>
        <v>20000</v>
      </c>
      <c r="U34" s="98"/>
      <c r="V34" s="98"/>
      <c r="W34" s="98"/>
      <c r="X34" s="33">
        <f t="shared" si="3"/>
        <v>0</v>
      </c>
      <c r="Y34" s="33"/>
    </row>
    <row r="35" spans="1:25" x14ac:dyDescent="0.7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98"/>
      <c r="N35" s="27"/>
      <c r="O35" s="32"/>
      <c r="P35" s="32"/>
      <c r="Q35" s="99">
        <v>10</v>
      </c>
      <c r="R35" s="99"/>
      <c r="S35" s="98">
        <v>2400</v>
      </c>
      <c r="T35" s="98">
        <f t="shared" si="2"/>
        <v>24000</v>
      </c>
      <c r="U35" s="98"/>
      <c r="V35" s="98"/>
      <c r="W35" s="98"/>
      <c r="X35" s="33">
        <f t="shared" si="3"/>
        <v>0</v>
      </c>
      <c r="Y35" s="33"/>
    </row>
    <row r="36" spans="1:25" x14ac:dyDescent="0.7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98"/>
      <c r="N36" s="27"/>
      <c r="O36" s="32"/>
      <c r="P36" s="32" t="s">
        <v>128</v>
      </c>
      <c r="Q36" s="99">
        <v>15</v>
      </c>
      <c r="R36" s="99"/>
      <c r="S36" s="98">
        <v>2000</v>
      </c>
      <c r="T36" s="98">
        <f t="shared" si="2"/>
        <v>30000</v>
      </c>
      <c r="U36" s="98"/>
      <c r="V36" s="98"/>
      <c r="W36" s="98"/>
      <c r="X36" s="33">
        <f t="shared" si="3"/>
        <v>0</v>
      </c>
      <c r="Y36" s="33"/>
    </row>
    <row r="37" spans="1:25" x14ac:dyDescent="0.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98"/>
      <c r="N37" s="27"/>
      <c r="O37" s="32"/>
      <c r="P37" s="32" t="s">
        <v>143</v>
      </c>
      <c r="Q37" s="99">
        <v>10</v>
      </c>
      <c r="R37" s="99"/>
      <c r="S37" s="98">
        <v>2000</v>
      </c>
      <c r="T37" s="98">
        <f t="shared" si="2"/>
        <v>20000</v>
      </c>
      <c r="U37" s="98"/>
      <c r="V37" s="98"/>
      <c r="W37" s="98"/>
      <c r="X37" s="33">
        <f t="shared" si="3"/>
        <v>0</v>
      </c>
      <c r="Y37" s="33"/>
    </row>
    <row r="38" spans="1:25" x14ac:dyDescent="0.7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98"/>
      <c r="N38" s="27"/>
      <c r="O38" s="32"/>
      <c r="P38" s="32" t="s">
        <v>144</v>
      </c>
      <c r="Q38" s="99">
        <v>20</v>
      </c>
      <c r="R38" s="99"/>
      <c r="S38" s="98">
        <v>2000</v>
      </c>
      <c r="T38" s="98">
        <f t="shared" si="2"/>
        <v>40000</v>
      </c>
      <c r="U38" s="98"/>
      <c r="V38" s="98"/>
      <c r="W38" s="98"/>
      <c r="X38" s="33">
        <f t="shared" si="3"/>
        <v>0</v>
      </c>
      <c r="Y38" s="33"/>
    </row>
    <row r="39" spans="1:25" x14ac:dyDescent="0.7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98"/>
      <c r="N39" s="27"/>
      <c r="O39" s="32"/>
      <c r="P39" s="32" t="s">
        <v>146</v>
      </c>
      <c r="Q39" s="99">
        <v>10</v>
      </c>
      <c r="R39" s="99"/>
      <c r="S39" s="98">
        <v>2000</v>
      </c>
      <c r="T39" s="98">
        <f t="shared" si="2"/>
        <v>20000</v>
      </c>
      <c r="U39" s="98"/>
      <c r="V39" s="98"/>
      <c r="W39" s="98"/>
      <c r="X39" s="33">
        <f t="shared" si="3"/>
        <v>0</v>
      </c>
      <c r="Y39" s="33"/>
    </row>
    <row r="40" spans="1:25" x14ac:dyDescent="0.7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98"/>
      <c r="N40" s="27"/>
      <c r="O40" s="32"/>
      <c r="P40" s="32" t="s">
        <v>125</v>
      </c>
      <c r="Q40" s="99"/>
      <c r="R40" s="99"/>
      <c r="S40" s="98"/>
      <c r="T40" s="98">
        <v>20000</v>
      </c>
      <c r="U40" s="98"/>
      <c r="V40" s="98"/>
      <c r="W40" s="98"/>
      <c r="X40" s="33">
        <f t="shared" si="3"/>
        <v>0</v>
      </c>
      <c r="Y40" s="33"/>
    </row>
    <row r="41" spans="1:25" x14ac:dyDescent="0.7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98"/>
      <c r="N41" s="27"/>
      <c r="O41" s="31" t="s">
        <v>153</v>
      </c>
      <c r="P41" s="32" t="s">
        <v>119</v>
      </c>
      <c r="Q41" s="99">
        <v>10</v>
      </c>
      <c r="R41" s="99"/>
      <c r="S41" s="98">
        <v>2400</v>
      </c>
      <c r="T41" s="98">
        <f t="shared" ref="T41:T48" si="4">Q41*S41</f>
        <v>24000</v>
      </c>
      <c r="U41" s="98"/>
      <c r="V41" s="98"/>
      <c r="W41" s="98"/>
      <c r="X41" s="33">
        <f t="shared" si="3"/>
        <v>0</v>
      </c>
      <c r="Y41" s="33"/>
    </row>
    <row r="42" spans="1:25" x14ac:dyDescent="0.7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98"/>
      <c r="N42" s="27"/>
      <c r="O42" s="31" t="s">
        <v>157</v>
      </c>
      <c r="P42" s="32" t="s">
        <v>158</v>
      </c>
      <c r="Q42" s="99">
        <v>5</v>
      </c>
      <c r="R42" s="99"/>
      <c r="S42" s="98">
        <v>2000</v>
      </c>
      <c r="T42" s="98">
        <f t="shared" si="4"/>
        <v>10000</v>
      </c>
      <c r="U42" s="98"/>
      <c r="V42" s="98"/>
      <c r="W42" s="98"/>
      <c r="X42" s="33">
        <f t="shared" si="3"/>
        <v>0</v>
      </c>
      <c r="Y42" s="33"/>
    </row>
    <row r="43" spans="1:25" x14ac:dyDescent="0.7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98"/>
      <c r="N43" s="27"/>
      <c r="O43" s="31" t="s">
        <v>161</v>
      </c>
      <c r="P43" s="32" t="s">
        <v>108</v>
      </c>
      <c r="Q43" s="27">
        <v>20</v>
      </c>
      <c r="R43" s="99"/>
      <c r="S43" s="98">
        <v>2000</v>
      </c>
      <c r="T43" s="98">
        <f t="shared" si="4"/>
        <v>40000</v>
      </c>
      <c r="U43" s="98"/>
      <c r="V43" s="98"/>
      <c r="W43" s="98"/>
      <c r="X43" s="33">
        <f t="shared" si="3"/>
        <v>0</v>
      </c>
      <c r="Y43" s="33"/>
    </row>
    <row r="44" spans="1:25" x14ac:dyDescent="0.7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98"/>
      <c r="N44" s="27"/>
      <c r="O44" s="31"/>
      <c r="P44" s="32" t="s">
        <v>140</v>
      </c>
      <c r="Q44" s="99">
        <v>10</v>
      </c>
      <c r="R44" s="99"/>
      <c r="S44" s="98">
        <v>2400</v>
      </c>
      <c r="T44" s="98">
        <f t="shared" si="4"/>
        <v>24000</v>
      </c>
      <c r="U44" s="98"/>
      <c r="V44" s="98"/>
      <c r="W44" s="98"/>
      <c r="X44" s="33">
        <f t="shared" si="3"/>
        <v>0</v>
      </c>
      <c r="Y44" s="33"/>
    </row>
    <row r="45" spans="1:25" x14ac:dyDescent="0.7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98"/>
      <c r="N45" s="27"/>
      <c r="O45" s="32"/>
      <c r="P45" s="32" t="s">
        <v>127</v>
      </c>
      <c r="Q45" s="99">
        <v>10</v>
      </c>
      <c r="R45" s="99"/>
      <c r="S45" s="98">
        <v>2000</v>
      </c>
      <c r="T45" s="98">
        <f t="shared" si="4"/>
        <v>20000</v>
      </c>
      <c r="U45" s="98"/>
      <c r="V45" s="98"/>
      <c r="W45" s="98"/>
      <c r="X45" s="33">
        <f t="shared" si="3"/>
        <v>0</v>
      </c>
      <c r="Y45" s="33"/>
    </row>
    <row r="46" spans="1:25" x14ac:dyDescent="0.7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98"/>
      <c r="N46" s="27"/>
      <c r="O46" s="31"/>
      <c r="P46" s="32"/>
      <c r="Q46" s="99">
        <v>10</v>
      </c>
      <c r="R46" s="99"/>
      <c r="S46" s="98">
        <v>2400</v>
      </c>
      <c r="T46" s="98">
        <f t="shared" si="4"/>
        <v>24000</v>
      </c>
      <c r="U46" s="98"/>
      <c r="V46" s="98"/>
      <c r="W46" s="98"/>
      <c r="X46" s="33">
        <f t="shared" si="3"/>
        <v>0</v>
      </c>
      <c r="Y46" s="33"/>
    </row>
    <row r="47" spans="1:25" x14ac:dyDescent="0.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98"/>
      <c r="N47" s="27"/>
      <c r="O47" s="31"/>
      <c r="P47" s="32" t="s">
        <v>119</v>
      </c>
      <c r="Q47" s="99">
        <v>10</v>
      </c>
      <c r="R47" s="99"/>
      <c r="S47" s="98">
        <v>2000</v>
      </c>
      <c r="T47" s="98">
        <f t="shared" si="4"/>
        <v>20000</v>
      </c>
      <c r="U47" s="98"/>
      <c r="V47" s="98"/>
      <c r="W47" s="98"/>
      <c r="X47" s="33">
        <f t="shared" si="3"/>
        <v>0</v>
      </c>
      <c r="Y47" s="33"/>
    </row>
    <row r="48" spans="1:25" x14ac:dyDescent="0.7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98"/>
      <c r="N48" s="27"/>
      <c r="O48" s="31"/>
      <c r="P48" s="32"/>
      <c r="Q48" s="99">
        <v>10</v>
      </c>
      <c r="R48" s="99"/>
      <c r="S48" s="98">
        <v>2400</v>
      </c>
      <c r="T48" s="98">
        <f t="shared" si="4"/>
        <v>24000</v>
      </c>
      <c r="U48" s="98"/>
      <c r="V48" s="98"/>
      <c r="W48" s="98"/>
      <c r="X48" s="33">
        <f>+U48</f>
        <v>0</v>
      </c>
      <c r="Y48" s="33"/>
    </row>
    <row r="49" spans="1:25" x14ac:dyDescent="0.7">
      <c r="A49" s="31" t="s">
        <v>162</v>
      </c>
      <c r="B49" s="77"/>
      <c r="C49" s="77"/>
      <c r="D49" s="77"/>
      <c r="E49" s="77"/>
      <c r="F49" s="77"/>
      <c r="G49" s="77"/>
      <c r="H49" s="77"/>
      <c r="I49" s="77"/>
      <c r="J49" s="32">
        <v>32</v>
      </c>
      <c r="K49" s="32">
        <v>5500</v>
      </c>
      <c r="L49" s="32">
        <f>J49*K49</f>
        <v>176000</v>
      </c>
      <c r="M49" s="98">
        <f>+L49</f>
        <v>176000</v>
      </c>
      <c r="N49" s="27"/>
      <c r="O49" s="31" t="s">
        <v>162</v>
      </c>
      <c r="P49" s="32" t="s">
        <v>119</v>
      </c>
      <c r="Q49" s="99">
        <v>10</v>
      </c>
      <c r="R49" s="99"/>
      <c r="S49" s="98">
        <v>2400</v>
      </c>
      <c r="T49" s="98">
        <f t="shared" ref="T49:T52" si="5">Q49*S49</f>
        <v>24000</v>
      </c>
      <c r="U49" s="98"/>
      <c r="V49" s="98"/>
      <c r="W49" s="98"/>
      <c r="X49" s="33">
        <f t="shared" si="3"/>
        <v>0</v>
      </c>
      <c r="Y49" s="33"/>
    </row>
    <row r="50" spans="1:25" x14ac:dyDescent="0.7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98"/>
      <c r="N50" s="27"/>
      <c r="O50" s="32"/>
      <c r="P50" s="32" t="s">
        <v>163</v>
      </c>
      <c r="Q50" s="99">
        <v>10</v>
      </c>
      <c r="R50" s="99"/>
      <c r="S50" s="98">
        <v>2400</v>
      </c>
      <c r="T50" s="98">
        <f t="shared" si="5"/>
        <v>24000</v>
      </c>
      <c r="U50" s="98"/>
      <c r="V50" s="98"/>
      <c r="W50" s="98"/>
      <c r="X50" s="33">
        <f t="shared" si="3"/>
        <v>0</v>
      </c>
      <c r="Y50" s="33"/>
    </row>
    <row r="51" spans="1:25" x14ac:dyDescent="0.7">
      <c r="A51" s="31"/>
      <c r="B51" s="77"/>
      <c r="C51" s="77"/>
      <c r="D51" s="77"/>
      <c r="E51" s="77"/>
      <c r="F51" s="77"/>
      <c r="G51" s="77"/>
      <c r="H51" s="77"/>
      <c r="I51" s="77"/>
      <c r="J51" s="32"/>
      <c r="K51" s="32"/>
      <c r="L51" s="32"/>
      <c r="M51" s="33"/>
      <c r="N51" s="27"/>
      <c r="O51" s="31"/>
      <c r="P51" s="32" t="s">
        <v>137</v>
      </c>
      <c r="Q51" s="99">
        <v>15</v>
      </c>
      <c r="R51" s="99"/>
      <c r="S51" s="98">
        <v>2400</v>
      </c>
      <c r="T51" s="98">
        <f t="shared" si="5"/>
        <v>36000</v>
      </c>
      <c r="U51" s="98"/>
      <c r="V51" s="98"/>
      <c r="W51" s="98"/>
      <c r="X51" s="33">
        <f t="shared" si="3"/>
        <v>0</v>
      </c>
      <c r="Y51" s="33"/>
    </row>
    <row r="52" spans="1:25" x14ac:dyDescent="0.7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98"/>
      <c r="N52" s="27"/>
      <c r="O52" s="32"/>
      <c r="P52" s="32"/>
      <c r="Q52" s="99">
        <v>15</v>
      </c>
      <c r="R52" s="99"/>
      <c r="S52" s="98">
        <v>2000</v>
      </c>
      <c r="T52" s="98">
        <f t="shared" si="5"/>
        <v>30000</v>
      </c>
      <c r="U52" s="98"/>
      <c r="V52" s="98"/>
      <c r="W52" s="98"/>
      <c r="X52" s="33">
        <f t="shared" si="3"/>
        <v>0</v>
      </c>
      <c r="Y52" s="33"/>
    </row>
    <row r="53" spans="1:25" x14ac:dyDescent="0.7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98"/>
      <c r="N53" s="27"/>
      <c r="O53" s="32"/>
      <c r="P53" s="32" t="s">
        <v>164</v>
      </c>
      <c r="Q53" s="99"/>
      <c r="R53" s="99">
        <v>3</v>
      </c>
      <c r="S53" s="98">
        <v>7000</v>
      </c>
      <c r="T53" s="98">
        <f>R53*S53</f>
        <v>21000</v>
      </c>
      <c r="U53" s="98"/>
      <c r="V53" s="98"/>
      <c r="W53" s="98"/>
      <c r="X53" s="33">
        <f t="shared" si="3"/>
        <v>0</v>
      </c>
      <c r="Y53" s="33"/>
    </row>
    <row r="54" spans="1:25" x14ac:dyDescent="0.7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98"/>
      <c r="N54" s="27"/>
      <c r="O54" s="31" t="s">
        <v>165</v>
      </c>
      <c r="P54" s="32" t="s">
        <v>166</v>
      </c>
      <c r="Q54" s="99">
        <v>10</v>
      </c>
      <c r="R54" s="99"/>
      <c r="S54" s="98">
        <v>2000</v>
      </c>
      <c r="T54" s="98">
        <f>Q54*S54</f>
        <v>20000</v>
      </c>
      <c r="U54" s="98"/>
      <c r="V54" s="98"/>
      <c r="W54" s="98"/>
      <c r="X54" s="33">
        <f t="shared" si="3"/>
        <v>0</v>
      </c>
      <c r="Y54" s="33"/>
    </row>
    <row r="55" spans="1:25" x14ac:dyDescent="0.7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98"/>
      <c r="N55" s="27"/>
      <c r="O55" s="31"/>
      <c r="P55" s="32"/>
      <c r="Q55" s="99">
        <v>10</v>
      </c>
      <c r="R55" s="99"/>
      <c r="S55" s="98">
        <v>2400</v>
      </c>
      <c r="T55" s="98">
        <f>Q55*S55</f>
        <v>24000</v>
      </c>
      <c r="U55" s="98"/>
      <c r="V55" s="98"/>
      <c r="W55" s="98"/>
      <c r="X55" s="33">
        <f t="shared" si="3"/>
        <v>0</v>
      </c>
      <c r="Y55" s="33"/>
    </row>
    <row r="56" spans="1:25" x14ac:dyDescent="0.7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98"/>
      <c r="N56" s="27"/>
      <c r="O56" s="32"/>
      <c r="P56" s="32" t="s">
        <v>124</v>
      </c>
      <c r="Q56" s="99">
        <v>45</v>
      </c>
      <c r="R56" s="99"/>
      <c r="S56" s="98">
        <v>2000</v>
      </c>
      <c r="T56" s="98">
        <f>Q56*S56</f>
        <v>90000</v>
      </c>
      <c r="U56" s="98"/>
      <c r="V56" s="98"/>
      <c r="W56" s="98"/>
      <c r="X56" s="33">
        <f t="shared" si="3"/>
        <v>0</v>
      </c>
      <c r="Y56" s="33"/>
    </row>
    <row r="57" spans="1:25" x14ac:dyDescent="0.7">
      <c r="A57" s="31"/>
      <c r="B57" s="77"/>
      <c r="C57" s="77"/>
      <c r="D57" s="77"/>
      <c r="E57" s="77"/>
      <c r="F57" s="77"/>
      <c r="G57" s="77"/>
      <c r="H57" s="77"/>
      <c r="I57" s="77"/>
      <c r="J57" s="32"/>
      <c r="K57" s="32"/>
      <c r="L57" s="32"/>
      <c r="M57" s="33"/>
      <c r="N57" s="27"/>
      <c r="O57" s="31"/>
      <c r="P57" s="32" t="s">
        <v>123</v>
      </c>
      <c r="Q57" s="99">
        <v>20</v>
      </c>
      <c r="R57" s="99"/>
      <c r="S57" s="98">
        <v>2000</v>
      </c>
      <c r="T57" s="98">
        <f>Q57*S57</f>
        <v>40000</v>
      </c>
      <c r="U57" s="98"/>
      <c r="V57" s="98"/>
      <c r="W57" s="98"/>
      <c r="X57" s="33">
        <f t="shared" si="3"/>
        <v>0</v>
      </c>
      <c r="Y57" s="33"/>
    </row>
    <row r="58" spans="1:25" x14ac:dyDescent="0.7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98"/>
      <c r="N58" s="27"/>
      <c r="O58" s="32"/>
      <c r="P58" s="32" t="s">
        <v>137</v>
      </c>
      <c r="Q58" s="99">
        <v>20</v>
      </c>
      <c r="R58" s="99"/>
      <c r="S58" s="98">
        <v>2400</v>
      </c>
      <c r="T58" s="98">
        <f>Q58*S58</f>
        <v>48000</v>
      </c>
      <c r="U58" s="33"/>
      <c r="V58" s="33"/>
      <c r="W58" s="98"/>
      <c r="X58" s="33">
        <f t="shared" si="3"/>
        <v>0</v>
      </c>
      <c r="Y58" s="33"/>
    </row>
    <row r="59" spans="1:25" x14ac:dyDescent="0.7">
      <c r="A59" s="31" t="s">
        <v>167</v>
      </c>
      <c r="B59" s="77">
        <v>880</v>
      </c>
      <c r="C59" s="77"/>
      <c r="D59" s="77">
        <v>320</v>
      </c>
      <c r="E59" s="77">
        <f>B59*D59</f>
        <v>281600</v>
      </c>
      <c r="F59" s="77"/>
      <c r="G59" s="77"/>
      <c r="H59" s="77"/>
      <c r="I59" s="77"/>
      <c r="J59" s="77"/>
      <c r="K59" s="77"/>
      <c r="L59" s="77"/>
      <c r="M59" s="98">
        <f>+E59</f>
        <v>281600</v>
      </c>
      <c r="N59" s="27"/>
      <c r="O59" s="31" t="s">
        <v>167</v>
      </c>
      <c r="P59" s="32" t="s">
        <v>122</v>
      </c>
      <c r="Q59" s="99"/>
      <c r="R59" s="99">
        <v>3</v>
      </c>
      <c r="S59" s="98">
        <v>7000</v>
      </c>
      <c r="T59" s="98">
        <f>R59*S59</f>
        <v>21000</v>
      </c>
      <c r="U59" s="98"/>
      <c r="V59" s="98"/>
      <c r="W59" s="98"/>
      <c r="X59" s="33">
        <f>+U59</f>
        <v>0</v>
      </c>
      <c r="Y59" s="33"/>
    </row>
    <row r="60" spans="1:25" x14ac:dyDescent="0.7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98"/>
      <c r="N60" s="27"/>
      <c r="O60" s="32"/>
      <c r="P60" s="32"/>
      <c r="Q60" s="99">
        <v>15</v>
      </c>
      <c r="R60" s="99"/>
      <c r="S60" s="98">
        <v>2000</v>
      </c>
      <c r="T60" s="98">
        <f t="shared" ref="T60:T72" si="6">Q60*S60</f>
        <v>30000</v>
      </c>
      <c r="U60" s="98"/>
      <c r="V60" s="98"/>
      <c r="W60" s="98"/>
      <c r="X60" s="33">
        <f t="shared" si="3"/>
        <v>0</v>
      </c>
      <c r="Y60" s="33"/>
    </row>
    <row r="61" spans="1:25" x14ac:dyDescent="0.7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98"/>
      <c r="N61" s="27"/>
      <c r="O61" s="32"/>
      <c r="P61" s="32"/>
      <c r="Q61" s="99">
        <v>15</v>
      </c>
      <c r="R61" s="99"/>
      <c r="S61" s="98">
        <v>2400</v>
      </c>
      <c r="T61" s="98">
        <f t="shared" si="6"/>
        <v>36000</v>
      </c>
      <c r="U61" s="98"/>
      <c r="V61" s="98"/>
      <c r="W61" s="98"/>
      <c r="X61" s="33">
        <f t="shared" si="3"/>
        <v>0</v>
      </c>
      <c r="Y61" s="33"/>
    </row>
    <row r="62" spans="1:25" x14ac:dyDescent="0.7">
      <c r="A62" s="31" t="s">
        <v>168</v>
      </c>
      <c r="B62" s="77"/>
      <c r="C62" s="77"/>
      <c r="D62" s="77"/>
      <c r="E62" s="77"/>
      <c r="F62" s="77"/>
      <c r="G62" s="77"/>
      <c r="H62" s="77"/>
      <c r="I62" s="77"/>
      <c r="J62" s="32">
        <v>28</v>
      </c>
      <c r="K62" s="32">
        <v>5500</v>
      </c>
      <c r="L62" s="32">
        <f>J62*K62</f>
        <v>154000</v>
      </c>
      <c r="M62" s="98">
        <f>+L62</f>
        <v>154000</v>
      </c>
      <c r="N62" s="27"/>
      <c r="O62" s="31" t="s">
        <v>168</v>
      </c>
      <c r="P62" s="32" t="s">
        <v>108</v>
      </c>
      <c r="Q62" s="99">
        <v>20</v>
      </c>
      <c r="R62" s="99"/>
      <c r="S62" s="98">
        <v>2000</v>
      </c>
      <c r="T62" s="98">
        <f t="shared" si="6"/>
        <v>40000</v>
      </c>
      <c r="U62" s="98">
        <f>+T62</f>
        <v>40000</v>
      </c>
      <c r="V62" s="98"/>
      <c r="W62" s="98"/>
      <c r="X62" s="33">
        <f t="shared" si="3"/>
        <v>40000</v>
      </c>
      <c r="Y62" s="33"/>
    </row>
    <row r="63" spans="1:25" x14ac:dyDescent="0.7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98"/>
      <c r="N63" s="27"/>
      <c r="O63" s="32"/>
      <c r="P63" s="32" t="s">
        <v>128</v>
      </c>
      <c r="Q63" s="99">
        <v>20</v>
      </c>
      <c r="R63" s="99"/>
      <c r="S63" s="98">
        <v>2000</v>
      </c>
      <c r="T63" s="98">
        <f t="shared" si="6"/>
        <v>40000</v>
      </c>
      <c r="U63" s="98"/>
      <c r="V63" s="98"/>
      <c r="W63" s="98"/>
      <c r="X63" s="33">
        <f t="shared" si="3"/>
        <v>0</v>
      </c>
      <c r="Y63" s="33"/>
    </row>
    <row r="64" spans="1:25" x14ac:dyDescent="0.7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98"/>
      <c r="N64" s="27"/>
      <c r="O64" s="32"/>
      <c r="P64" s="32" t="s">
        <v>142</v>
      </c>
      <c r="Q64" s="99">
        <v>10</v>
      </c>
      <c r="R64" s="99"/>
      <c r="S64" s="98">
        <v>2000</v>
      </c>
      <c r="T64" s="98">
        <f t="shared" si="6"/>
        <v>20000</v>
      </c>
      <c r="U64" s="98"/>
      <c r="V64" s="98"/>
      <c r="W64" s="98"/>
      <c r="X64" s="33">
        <f t="shared" si="3"/>
        <v>0</v>
      </c>
      <c r="Y64" s="33"/>
    </row>
    <row r="65" spans="1:25" x14ac:dyDescent="0.7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98"/>
      <c r="N65" s="27"/>
      <c r="O65" s="32"/>
      <c r="P65" s="32"/>
      <c r="Q65" s="99">
        <v>10</v>
      </c>
      <c r="R65" s="99"/>
      <c r="S65" s="98">
        <v>2400</v>
      </c>
      <c r="T65" s="98">
        <f t="shared" si="6"/>
        <v>24000</v>
      </c>
      <c r="U65" s="98"/>
      <c r="V65" s="98"/>
      <c r="W65" s="98"/>
      <c r="X65" s="33">
        <f t="shared" si="3"/>
        <v>0</v>
      </c>
      <c r="Y65" s="33"/>
    </row>
    <row r="66" spans="1:25" x14ac:dyDescent="0.7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98"/>
      <c r="N66" s="27"/>
      <c r="O66" s="32"/>
      <c r="P66" s="32" t="s">
        <v>140</v>
      </c>
      <c r="Q66" s="99">
        <v>15</v>
      </c>
      <c r="R66" s="99"/>
      <c r="S66" s="98">
        <v>2400</v>
      </c>
      <c r="T66" s="98">
        <f t="shared" si="6"/>
        <v>36000</v>
      </c>
      <c r="U66" s="98"/>
      <c r="V66" s="98"/>
      <c r="W66" s="98"/>
      <c r="X66" s="33">
        <f t="shared" si="3"/>
        <v>0</v>
      </c>
      <c r="Y66" s="33"/>
    </row>
    <row r="67" spans="1:25" x14ac:dyDescent="0.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98"/>
      <c r="N67" s="27"/>
      <c r="O67" s="32"/>
      <c r="P67" s="32" t="s">
        <v>120</v>
      </c>
      <c r="Q67" s="99">
        <v>15</v>
      </c>
      <c r="R67" s="99"/>
      <c r="S67" s="98">
        <v>2000</v>
      </c>
      <c r="T67" s="98">
        <f t="shared" si="6"/>
        <v>30000</v>
      </c>
      <c r="U67" s="98"/>
      <c r="V67" s="98"/>
      <c r="W67" s="98"/>
      <c r="X67" s="33">
        <f t="shared" si="3"/>
        <v>0</v>
      </c>
      <c r="Y67" s="33"/>
    </row>
    <row r="68" spans="1:25" x14ac:dyDescent="0.7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98"/>
      <c r="N68" s="27"/>
      <c r="O68" s="32"/>
      <c r="P68" s="32"/>
      <c r="Q68" s="99">
        <v>15</v>
      </c>
      <c r="R68" s="99"/>
      <c r="S68" s="98">
        <v>2400</v>
      </c>
      <c r="T68" s="98">
        <f t="shared" si="6"/>
        <v>36000</v>
      </c>
      <c r="U68" s="98"/>
      <c r="V68" s="98"/>
      <c r="W68" s="98"/>
      <c r="X68" s="33">
        <f t="shared" si="3"/>
        <v>0</v>
      </c>
      <c r="Y68" s="33"/>
    </row>
    <row r="69" spans="1:25" x14ac:dyDescent="0.7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98"/>
      <c r="N69" s="27"/>
      <c r="O69" s="32"/>
      <c r="P69" s="32" t="s">
        <v>143</v>
      </c>
      <c r="Q69" s="99">
        <v>10</v>
      </c>
      <c r="R69" s="99"/>
      <c r="S69" s="98">
        <v>2000</v>
      </c>
      <c r="T69" s="98">
        <f t="shared" si="6"/>
        <v>20000</v>
      </c>
      <c r="U69" s="98">
        <f>+T69</f>
        <v>20000</v>
      </c>
      <c r="V69" s="98"/>
      <c r="W69" s="98"/>
      <c r="X69" s="33">
        <f t="shared" si="3"/>
        <v>20000</v>
      </c>
      <c r="Y69" s="33"/>
    </row>
    <row r="70" spans="1:25" x14ac:dyDescent="0.7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98"/>
      <c r="N70" s="27"/>
      <c r="O70" s="31"/>
      <c r="P70" s="32" t="s">
        <v>144</v>
      </c>
      <c r="Q70" s="99">
        <v>20</v>
      </c>
      <c r="R70" s="99"/>
      <c r="S70" s="98">
        <v>2000</v>
      </c>
      <c r="T70" s="98">
        <f t="shared" si="6"/>
        <v>40000</v>
      </c>
      <c r="U70" s="98">
        <f>+T70</f>
        <v>40000</v>
      </c>
      <c r="V70" s="98"/>
      <c r="W70" s="98"/>
      <c r="X70" s="33">
        <f t="shared" si="3"/>
        <v>40000</v>
      </c>
      <c r="Y70" s="33"/>
    </row>
    <row r="71" spans="1:25" x14ac:dyDescent="0.7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98"/>
      <c r="N71" s="27"/>
      <c r="O71" s="32"/>
      <c r="P71" s="32" t="s">
        <v>119</v>
      </c>
      <c r="Q71" s="99">
        <v>10</v>
      </c>
      <c r="R71" s="99"/>
      <c r="S71" s="98">
        <v>2000</v>
      </c>
      <c r="T71" s="98">
        <f t="shared" si="6"/>
        <v>20000</v>
      </c>
      <c r="U71" s="98"/>
      <c r="V71" s="98"/>
      <c r="W71" s="98"/>
      <c r="X71" s="33">
        <f t="shared" si="3"/>
        <v>0</v>
      </c>
      <c r="Y71" s="33"/>
    </row>
    <row r="72" spans="1:25" x14ac:dyDescent="0.7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98"/>
      <c r="N72" s="27"/>
      <c r="O72" s="32"/>
      <c r="P72" s="32"/>
      <c r="Q72" s="99">
        <v>10</v>
      </c>
      <c r="R72" s="99"/>
      <c r="S72" s="98">
        <v>2400</v>
      </c>
      <c r="T72" s="98">
        <f t="shared" si="6"/>
        <v>24000</v>
      </c>
      <c r="U72" s="98"/>
      <c r="V72" s="98"/>
      <c r="W72" s="98"/>
      <c r="X72" s="33"/>
      <c r="Y72" s="33"/>
    </row>
    <row r="73" spans="1:25" x14ac:dyDescent="0.7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98"/>
      <c r="N73" s="27"/>
      <c r="O73" s="31"/>
      <c r="P73" s="32" t="s">
        <v>178</v>
      </c>
      <c r="Q73" s="99"/>
      <c r="R73" s="99">
        <v>3</v>
      </c>
      <c r="S73" s="98">
        <v>7000</v>
      </c>
      <c r="T73" s="98">
        <f>R73*S73</f>
        <v>21000</v>
      </c>
      <c r="U73" s="98"/>
      <c r="V73" s="98"/>
      <c r="W73" s="98"/>
      <c r="X73" s="33">
        <f t="shared" si="3"/>
        <v>0</v>
      </c>
      <c r="Y73" s="33"/>
    </row>
    <row r="74" spans="1:25" x14ac:dyDescent="0.7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98"/>
      <c r="N74" s="27"/>
      <c r="O74" s="32"/>
      <c r="P74" s="32" t="s">
        <v>125</v>
      </c>
      <c r="Q74" s="99"/>
      <c r="R74" s="99"/>
      <c r="S74" s="98"/>
      <c r="T74" s="98">
        <v>4000</v>
      </c>
      <c r="U74" s="98"/>
      <c r="V74" s="98"/>
      <c r="W74" s="98"/>
      <c r="X74" s="33">
        <f t="shared" si="3"/>
        <v>0</v>
      </c>
      <c r="Y74" s="33"/>
    </row>
    <row r="75" spans="1:25" x14ac:dyDescent="0.7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98"/>
      <c r="N75" s="27"/>
      <c r="O75" s="31" t="s">
        <v>181</v>
      </c>
      <c r="P75" s="32" t="s">
        <v>119</v>
      </c>
      <c r="Q75" s="99">
        <v>10</v>
      </c>
      <c r="R75" s="99"/>
      <c r="S75" s="98">
        <v>2400</v>
      </c>
      <c r="T75" s="98">
        <f t="shared" ref="T75:T77" si="7">Q75*S75</f>
        <v>24000</v>
      </c>
      <c r="U75" s="98"/>
      <c r="V75" s="98"/>
      <c r="W75" s="98"/>
      <c r="X75" s="33">
        <f t="shared" si="3"/>
        <v>0</v>
      </c>
      <c r="Y75" s="33"/>
    </row>
    <row r="76" spans="1:25" x14ac:dyDescent="0.7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98"/>
      <c r="N76" s="27"/>
      <c r="O76" s="32"/>
      <c r="P76" s="32" t="s">
        <v>127</v>
      </c>
      <c r="Q76" s="99">
        <v>10</v>
      </c>
      <c r="R76" s="99"/>
      <c r="S76" s="98">
        <v>2000</v>
      </c>
      <c r="T76" s="98">
        <f t="shared" si="7"/>
        <v>20000</v>
      </c>
      <c r="U76" s="98"/>
      <c r="V76" s="98"/>
      <c r="W76" s="98"/>
      <c r="X76" s="33">
        <f t="shared" si="3"/>
        <v>0</v>
      </c>
      <c r="Y76" s="33"/>
    </row>
    <row r="77" spans="1:25" x14ac:dyDescent="0.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98"/>
      <c r="N77" s="27"/>
      <c r="O77" s="32"/>
      <c r="P77" s="32" t="s">
        <v>146</v>
      </c>
      <c r="Q77" s="99">
        <v>3</v>
      </c>
      <c r="R77" s="99"/>
      <c r="S77" s="98">
        <v>2000</v>
      </c>
      <c r="T77" s="98">
        <f t="shared" si="7"/>
        <v>6000</v>
      </c>
      <c r="U77" s="98"/>
      <c r="V77" s="98"/>
      <c r="W77" s="98"/>
      <c r="X77" s="33">
        <f>+U77</f>
        <v>0</v>
      </c>
      <c r="Y77" s="33"/>
    </row>
    <row r="78" spans="1:25" x14ac:dyDescent="0.7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98"/>
      <c r="N78" s="27"/>
      <c r="O78" s="31"/>
      <c r="P78" s="32"/>
      <c r="Q78" s="99"/>
      <c r="R78" s="99"/>
      <c r="S78" s="98"/>
      <c r="T78" s="98"/>
      <c r="U78" s="98"/>
      <c r="V78" s="98"/>
      <c r="W78" s="98"/>
      <c r="X78" s="33">
        <f t="shared" si="3"/>
        <v>0</v>
      </c>
      <c r="Y78" s="33"/>
    </row>
    <row r="79" spans="1:25" x14ac:dyDescent="0.7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98"/>
      <c r="N79" s="27"/>
      <c r="O79" s="32"/>
      <c r="P79" s="32"/>
      <c r="Q79" s="99"/>
      <c r="R79" s="99"/>
      <c r="S79" s="98"/>
      <c r="T79" s="98"/>
      <c r="U79" s="98"/>
      <c r="V79" s="98"/>
      <c r="W79" s="98"/>
      <c r="X79" s="33">
        <f t="shared" si="3"/>
        <v>0</v>
      </c>
      <c r="Y79" s="33"/>
    </row>
    <row r="80" spans="1:25" x14ac:dyDescent="0.7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98"/>
      <c r="N80" s="27"/>
      <c r="O80" s="32"/>
      <c r="P80" s="32"/>
      <c r="Q80" s="99"/>
      <c r="R80" s="99"/>
      <c r="S80" s="98"/>
      <c r="T80" s="98"/>
      <c r="U80" s="98"/>
      <c r="V80" s="98"/>
      <c r="W80" s="98"/>
      <c r="X80" s="33">
        <f t="shared" si="3"/>
        <v>0</v>
      </c>
      <c r="Y80" s="33"/>
    </row>
    <row r="81" spans="1:25" x14ac:dyDescent="0.7">
      <c r="A81" s="31"/>
      <c r="B81" s="77"/>
      <c r="C81" s="77"/>
      <c r="D81" s="77"/>
      <c r="E81" s="77"/>
      <c r="F81" s="77"/>
      <c r="G81" s="77"/>
      <c r="H81" s="77"/>
      <c r="I81" s="77"/>
      <c r="J81" s="32"/>
      <c r="K81" s="32"/>
      <c r="L81" s="32"/>
      <c r="M81" s="98"/>
      <c r="N81" s="27"/>
      <c r="O81" s="31"/>
      <c r="P81" s="32"/>
      <c r="Q81" s="99"/>
      <c r="R81" s="99"/>
      <c r="S81" s="98"/>
      <c r="T81" s="98"/>
      <c r="U81" s="98"/>
      <c r="V81" s="98"/>
      <c r="W81" s="98"/>
      <c r="X81" s="33">
        <f t="shared" si="3"/>
        <v>0</v>
      </c>
      <c r="Y81" s="33"/>
    </row>
    <row r="82" spans="1:25" x14ac:dyDescent="0.7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98"/>
      <c r="N82" s="27"/>
      <c r="O82" s="32"/>
      <c r="P82" s="32"/>
      <c r="Q82" s="99"/>
      <c r="R82" s="99"/>
      <c r="S82" s="98"/>
      <c r="T82" s="98"/>
      <c r="U82" s="98"/>
      <c r="V82" s="98"/>
      <c r="W82" s="98"/>
      <c r="X82" s="33">
        <f t="shared" si="3"/>
        <v>0</v>
      </c>
      <c r="Y82" s="33"/>
    </row>
    <row r="83" spans="1:25" x14ac:dyDescent="0.7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98"/>
      <c r="N83" s="27"/>
      <c r="O83" s="31"/>
      <c r="P83" s="32"/>
      <c r="Q83" s="99"/>
      <c r="R83" s="99"/>
      <c r="S83" s="98"/>
      <c r="T83" s="98"/>
      <c r="U83" s="98"/>
      <c r="V83" s="98"/>
      <c r="W83" s="98"/>
      <c r="X83" s="33">
        <f t="shared" si="3"/>
        <v>0</v>
      </c>
      <c r="Y83" s="33"/>
    </row>
    <row r="84" spans="1:25" x14ac:dyDescent="0.7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98"/>
      <c r="N84" s="27"/>
      <c r="O84" s="31"/>
      <c r="P84" s="32"/>
      <c r="Q84" s="99"/>
      <c r="R84" s="99"/>
      <c r="S84" s="98"/>
      <c r="T84" s="98"/>
      <c r="U84" s="98"/>
      <c r="V84" s="98"/>
      <c r="W84" s="98"/>
      <c r="X84" s="33">
        <f t="shared" si="3"/>
        <v>0</v>
      </c>
      <c r="Y84" s="33"/>
    </row>
    <row r="85" spans="1:25" x14ac:dyDescent="0.7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98"/>
      <c r="N85" s="27"/>
      <c r="O85" s="32"/>
      <c r="P85" s="32"/>
      <c r="Q85" s="99"/>
      <c r="R85" s="99"/>
      <c r="S85" s="98"/>
      <c r="T85" s="98"/>
      <c r="U85" s="98"/>
      <c r="V85" s="98"/>
      <c r="W85" s="98"/>
      <c r="X85" s="33">
        <f>+U85</f>
        <v>0</v>
      </c>
      <c r="Y85" s="33"/>
    </row>
    <row r="86" spans="1:25" x14ac:dyDescent="0.7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98"/>
      <c r="N86" s="27"/>
      <c r="O86" s="32"/>
      <c r="P86" s="32"/>
      <c r="Q86" s="99"/>
      <c r="R86" s="99"/>
      <c r="S86" s="98"/>
      <c r="T86" s="98"/>
      <c r="U86" s="98"/>
      <c r="V86" s="98"/>
      <c r="W86" s="98"/>
      <c r="X86" s="33">
        <f t="shared" si="3"/>
        <v>0</v>
      </c>
      <c r="Y86" s="33"/>
    </row>
    <row r="87" spans="1:25" x14ac:dyDescent="0.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98"/>
      <c r="N87" s="27"/>
      <c r="O87" s="32"/>
      <c r="P87" s="32"/>
      <c r="Q87" s="99"/>
      <c r="R87" s="99"/>
      <c r="S87" s="98"/>
      <c r="T87" s="98"/>
      <c r="U87" s="98"/>
      <c r="V87" s="98"/>
      <c r="W87" s="98"/>
      <c r="X87" s="33">
        <f t="shared" si="3"/>
        <v>0</v>
      </c>
      <c r="Y87" s="33"/>
    </row>
    <row r="88" spans="1:25" x14ac:dyDescent="0.7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98"/>
      <c r="N88" s="27"/>
      <c r="O88" s="32"/>
      <c r="P88" s="32"/>
      <c r="Q88" s="99"/>
      <c r="R88" s="99"/>
      <c r="S88" s="98"/>
      <c r="T88" s="98"/>
      <c r="U88" s="98"/>
      <c r="V88" s="98"/>
      <c r="W88" s="98"/>
      <c r="X88" s="33">
        <f t="shared" si="3"/>
        <v>0</v>
      </c>
      <c r="Y88" s="33"/>
    </row>
    <row r="89" spans="1:25" x14ac:dyDescent="0.7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98"/>
      <c r="N89" s="27"/>
      <c r="O89" s="32"/>
      <c r="P89" s="32"/>
      <c r="Q89" s="99"/>
      <c r="R89" s="99"/>
      <c r="S89" s="98"/>
      <c r="T89" s="98"/>
      <c r="U89" s="98"/>
      <c r="V89" s="98"/>
      <c r="W89" s="98"/>
      <c r="X89" s="33">
        <f t="shared" si="3"/>
        <v>0</v>
      </c>
      <c r="Y89" s="33"/>
    </row>
    <row r="90" spans="1:25" x14ac:dyDescent="0.7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98"/>
      <c r="N90" s="27"/>
      <c r="O90" s="32"/>
      <c r="P90" s="32"/>
      <c r="Q90" s="99"/>
      <c r="R90" s="99"/>
      <c r="S90" s="98"/>
      <c r="T90" s="98"/>
      <c r="U90" s="98"/>
      <c r="V90" s="98"/>
      <c r="W90" s="98"/>
      <c r="X90" s="33">
        <f t="shared" si="3"/>
        <v>0</v>
      </c>
      <c r="Y90" s="33"/>
    </row>
    <row r="91" spans="1:25" x14ac:dyDescent="0.7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98"/>
      <c r="N91" s="27"/>
      <c r="O91" s="32"/>
      <c r="P91" s="32"/>
      <c r="Q91" s="99"/>
      <c r="R91" s="99"/>
      <c r="S91" s="98"/>
      <c r="T91" s="98"/>
      <c r="U91" s="98"/>
      <c r="V91" s="98"/>
      <c r="W91" s="98"/>
      <c r="X91" s="33">
        <f t="shared" si="3"/>
        <v>0</v>
      </c>
      <c r="Y91" s="33"/>
    </row>
    <row r="92" spans="1:25" x14ac:dyDescent="0.7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98"/>
      <c r="N92" s="27"/>
      <c r="O92" s="32"/>
      <c r="P92" s="32"/>
      <c r="Q92" s="99"/>
      <c r="R92" s="99"/>
      <c r="S92" s="98"/>
      <c r="T92" s="98"/>
      <c r="U92" s="98"/>
      <c r="V92" s="98"/>
      <c r="W92" s="98"/>
      <c r="X92" s="33">
        <f t="shared" si="3"/>
        <v>0</v>
      </c>
      <c r="Y92" s="33"/>
    </row>
    <row r="93" spans="1:25" x14ac:dyDescent="0.7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98"/>
      <c r="N93" s="27"/>
      <c r="O93" s="32"/>
      <c r="P93" s="32"/>
      <c r="Q93" s="99"/>
      <c r="R93" s="99"/>
      <c r="S93" s="98"/>
      <c r="T93" s="98"/>
      <c r="U93" s="98"/>
      <c r="V93" s="98"/>
      <c r="W93" s="98"/>
      <c r="X93" s="33">
        <f t="shared" si="3"/>
        <v>0</v>
      </c>
      <c r="Y93" s="33"/>
    </row>
    <row r="94" spans="1:25" x14ac:dyDescent="0.7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98"/>
      <c r="N94" s="27"/>
      <c r="O94" s="32"/>
      <c r="P94" s="32"/>
      <c r="Q94" s="99"/>
      <c r="R94" s="99"/>
      <c r="S94" s="98"/>
      <c r="T94" s="98"/>
      <c r="U94" s="98"/>
      <c r="V94" s="98"/>
      <c r="W94" s="98"/>
      <c r="X94" s="33">
        <f t="shared" si="3"/>
        <v>0</v>
      </c>
      <c r="Y94" s="33"/>
    </row>
    <row r="95" spans="1:25" ht="24" customHeight="1" x14ac:dyDescent="0.7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98"/>
      <c r="N95" s="27"/>
      <c r="O95" s="32"/>
      <c r="P95" s="32"/>
      <c r="Q95" s="99"/>
      <c r="R95" s="99"/>
      <c r="S95" s="98"/>
      <c r="T95" s="98"/>
      <c r="U95" s="98"/>
      <c r="V95" s="98"/>
      <c r="W95" s="98"/>
      <c r="X95" s="33">
        <f t="shared" si="3"/>
        <v>0</v>
      </c>
      <c r="Y95" s="33"/>
    </row>
    <row r="96" spans="1:25" ht="24" customHeight="1" x14ac:dyDescent="0.7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98"/>
      <c r="N96" s="27"/>
      <c r="O96" s="32"/>
      <c r="P96" s="32"/>
      <c r="Q96" s="99"/>
      <c r="R96" s="99"/>
      <c r="S96" s="98"/>
      <c r="T96" s="98"/>
      <c r="U96" s="98"/>
      <c r="V96" s="98"/>
      <c r="W96" s="98"/>
      <c r="X96" s="33">
        <f t="shared" si="3"/>
        <v>0</v>
      </c>
      <c r="Y96" s="33"/>
    </row>
    <row r="97" spans="1:25" ht="24" customHeight="1" x14ac:dyDescent="0.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98"/>
      <c r="N97" s="27"/>
      <c r="O97" s="32"/>
      <c r="P97" s="32"/>
      <c r="Q97" s="99"/>
      <c r="R97" s="99"/>
      <c r="S97" s="98"/>
      <c r="T97" s="98"/>
      <c r="U97" s="98"/>
      <c r="V97" s="98"/>
      <c r="W97" s="98"/>
      <c r="X97" s="33">
        <f t="shared" ref="X97:X103" si="8">+U97</f>
        <v>0</v>
      </c>
      <c r="Y97" s="33"/>
    </row>
    <row r="98" spans="1:25" ht="24" customHeight="1" x14ac:dyDescent="0.7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98"/>
      <c r="N98" s="27"/>
      <c r="O98" s="32"/>
      <c r="P98" s="32"/>
      <c r="Q98" s="99"/>
      <c r="R98" s="99"/>
      <c r="S98" s="98"/>
      <c r="T98" s="98"/>
      <c r="U98" s="98"/>
      <c r="V98" s="98"/>
      <c r="W98" s="98"/>
      <c r="X98" s="33">
        <f t="shared" si="8"/>
        <v>0</v>
      </c>
      <c r="Y98" s="33"/>
    </row>
    <row r="99" spans="1:25" ht="24" customHeight="1" x14ac:dyDescent="0.7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98"/>
      <c r="N99" s="27"/>
      <c r="O99" s="32"/>
      <c r="P99" s="32"/>
      <c r="Q99" s="99"/>
      <c r="R99" s="99"/>
      <c r="S99" s="98"/>
      <c r="T99" s="98"/>
      <c r="U99" s="98"/>
      <c r="V99" s="98"/>
      <c r="W99" s="98"/>
      <c r="X99" s="33">
        <f t="shared" si="8"/>
        <v>0</v>
      </c>
      <c r="Y99" s="33"/>
    </row>
    <row r="100" spans="1:25" x14ac:dyDescent="0.7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98"/>
      <c r="N100" s="27"/>
      <c r="O100" s="32"/>
      <c r="P100" s="32"/>
      <c r="Q100" s="99"/>
      <c r="R100" s="99"/>
      <c r="S100" s="98"/>
      <c r="T100" s="98"/>
      <c r="U100" s="98"/>
      <c r="V100" s="98"/>
      <c r="W100" s="98"/>
      <c r="X100" s="33">
        <f t="shared" si="8"/>
        <v>0</v>
      </c>
      <c r="Y100" s="33"/>
    </row>
    <row r="101" spans="1:25" x14ac:dyDescent="0.7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98"/>
      <c r="N101" s="27"/>
      <c r="O101" s="32"/>
      <c r="P101" s="32"/>
      <c r="Q101" s="99"/>
      <c r="R101" s="99"/>
      <c r="S101" s="98"/>
      <c r="T101" s="98"/>
      <c r="U101" s="98"/>
      <c r="V101" s="98"/>
      <c r="W101" s="98"/>
      <c r="X101" s="33">
        <f t="shared" si="8"/>
        <v>0</v>
      </c>
      <c r="Y101" s="33"/>
    </row>
    <row r="102" spans="1:25" x14ac:dyDescent="0.7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98"/>
      <c r="N102" s="27"/>
      <c r="O102" s="32"/>
      <c r="P102" s="32"/>
      <c r="Q102" s="99"/>
      <c r="R102" s="99"/>
      <c r="S102" s="98"/>
      <c r="T102" s="98"/>
      <c r="U102" s="98"/>
      <c r="V102" s="98"/>
      <c r="W102" s="98"/>
      <c r="X102" s="33">
        <f>+U102</f>
        <v>0</v>
      </c>
      <c r="Y102" s="33"/>
    </row>
    <row r="103" spans="1:25" x14ac:dyDescent="0.7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98"/>
      <c r="N103" s="36"/>
      <c r="O103" s="32"/>
      <c r="P103" s="32"/>
      <c r="Q103" s="99"/>
      <c r="R103" s="99"/>
      <c r="S103" s="98"/>
      <c r="T103" s="98"/>
      <c r="U103" s="98"/>
      <c r="V103" s="98"/>
      <c r="W103" s="98"/>
      <c r="X103" s="33">
        <f t="shared" si="8"/>
        <v>0</v>
      </c>
      <c r="Y103" s="33"/>
    </row>
    <row r="104" spans="1:25" x14ac:dyDescent="0.7">
      <c r="A104" s="38"/>
      <c r="B104" s="76">
        <f>SUM(B6:B103)</f>
        <v>880</v>
      </c>
      <c r="C104" s="76">
        <f>SUM(C6:C103)</f>
        <v>0</v>
      </c>
      <c r="D104" s="76"/>
      <c r="E104" s="76">
        <f>SUM(E6:E103)</f>
        <v>281600</v>
      </c>
      <c r="F104" s="76">
        <f>SUM(F6:F103)</f>
        <v>0</v>
      </c>
      <c r="G104" s="76">
        <f>SUM(G6:G103)</f>
        <v>0</v>
      </c>
      <c r="H104" s="76"/>
      <c r="I104" s="76"/>
      <c r="J104" s="76">
        <f>SUM(J6:J103)</f>
        <v>186</v>
      </c>
      <c r="K104" s="76">
        <f>SUM(K6:K103)</f>
        <v>33000</v>
      </c>
      <c r="L104" s="76">
        <f>SUM(L6:L103)</f>
        <v>1023000</v>
      </c>
      <c r="M104" s="76">
        <f>SUM(M6:M103)</f>
        <v>1304600</v>
      </c>
      <c r="N104" s="34"/>
      <c r="O104" s="108"/>
      <c r="P104" s="108"/>
      <c r="Q104" s="76">
        <f>SUM(Q6:Q103)</f>
        <v>885</v>
      </c>
      <c r="R104" s="76">
        <f>SUM(R6:R103)</f>
        <v>9</v>
      </c>
      <c r="S104" s="76"/>
      <c r="T104" s="76">
        <f>SUM(T6:T103)</f>
        <v>2034800</v>
      </c>
      <c r="U104" s="76">
        <f>SUM(U6:U103)</f>
        <v>124000</v>
      </c>
      <c r="V104" s="76">
        <f>T104-U104</f>
        <v>1910800</v>
      </c>
      <c r="W104" s="76">
        <f>SUM(W6:W22)</f>
        <v>0</v>
      </c>
      <c r="X104" s="76">
        <f>SUM(X6:X103)</f>
        <v>124000</v>
      </c>
      <c r="Y104" s="29"/>
    </row>
    <row r="105" spans="1:25" x14ac:dyDescent="0.7">
      <c r="B105" s="16">
        <f>B104+'[1]Yogut Profit'!$Q$128</f>
        <v>1554</v>
      </c>
      <c r="C105" s="16">
        <f>C104+'[1]Yogut Profit'!$R$128</f>
        <v>154</v>
      </c>
      <c r="F105" s="16">
        <f>'[1]Yogut Profit'!$S$128</f>
        <v>2679.181818181818</v>
      </c>
      <c r="G105" s="16">
        <f>'[1]Yogut Profit'!$T$128</f>
        <v>684</v>
      </c>
      <c r="P105" s="64"/>
      <c r="Q105" s="65" t="s">
        <v>59</v>
      </c>
      <c r="R105" s="66" t="s">
        <v>60</v>
      </c>
      <c r="S105" s="65" t="s">
        <v>59</v>
      </c>
      <c r="T105" s="66" t="s">
        <v>60</v>
      </c>
      <c r="U105" s="93" t="s">
        <v>85</v>
      </c>
      <c r="V105" s="47"/>
      <c r="W105" s="47"/>
      <c r="X105" s="47">
        <f>'[2]Yogut Profit'!$U$107</f>
        <v>0</v>
      </c>
      <c r="Y105" s="30"/>
    </row>
    <row r="106" spans="1:25" x14ac:dyDescent="0.7">
      <c r="P106" s="55" t="s">
        <v>55</v>
      </c>
      <c r="Q106" s="51">
        <f>B105-Q104</f>
        <v>669</v>
      </c>
      <c r="R106" s="51">
        <f>C105-R104</f>
        <v>145</v>
      </c>
      <c r="S106" s="67">
        <f>F105-Q104</f>
        <v>1794.181818181818</v>
      </c>
      <c r="T106" s="68">
        <f>G104+G105-R104</f>
        <v>675</v>
      </c>
      <c r="U106" s="68">
        <v>34</v>
      </c>
      <c r="V106" s="68">
        <f>+U106*6.5</f>
        <v>221</v>
      </c>
      <c r="W106" s="68"/>
      <c r="X106" s="68">
        <f>X104+X105</f>
        <v>124000</v>
      </c>
    </row>
    <row r="107" spans="1:25" x14ac:dyDescent="0.7">
      <c r="P107" s="26"/>
      <c r="Q107" s="26">
        <f>Q106*260</f>
        <v>173940</v>
      </c>
      <c r="R107" s="26">
        <f>R106*340</f>
        <v>49300</v>
      </c>
      <c r="S107" s="26">
        <f>S106*110</f>
        <v>197359.99999999997</v>
      </c>
      <c r="T107" s="26">
        <f>T106*250</f>
        <v>168750</v>
      </c>
    </row>
    <row r="108" spans="1:25" x14ac:dyDescent="0.7">
      <c r="P108" s="26"/>
      <c r="Q108" s="26"/>
    </row>
    <row r="109" spans="1:25" x14ac:dyDescent="0.7">
      <c r="P109" s="26" t="s">
        <v>34</v>
      </c>
      <c r="Q109" s="26"/>
      <c r="V109" s="26">
        <f>Q107+R107+S107+T107+U107</f>
        <v>589350</v>
      </c>
      <c r="Y109" s="68">
        <f>Q107+R107+S107+T107+U107</f>
        <v>589350</v>
      </c>
    </row>
    <row r="110" spans="1:25" x14ac:dyDescent="0.7">
      <c r="P110" s="68"/>
      <c r="Q110" s="68"/>
      <c r="R110" s="68"/>
      <c r="S110" s="68"/>
    </row>
    <row r="111" spans="1:25" x14ac:dyDescent="0.7">
      <c r="P111" s="26"/>
      <c r="Q111" s="26"/>
    </row>
    <row r="112" spans="1:25" x14ac:dyDescent="0.7">
      <c r="P112" s="68"/>
      <c r="Q112" s="26"/>
    </row>
    <row r="113" spans="15:17" x14ac:dyDescent="0.7">
      <c r="P113" s="26"/>
      <c r="Q113" s="26"/>
    </row>
    <row r="114" spans="15:17" x14ac:dyDescent="0.7">
      <c r="O114" s="101"/>
      <c r="P114" s="100"/>
      <c r="Q114" s="26"/>
    </row>
    <row r="115" spans="15:17" x14ac:dyDescent="0.7">
      <c r="P115" s="26"/>
      <c r="Q115" s="26"/>
    </row>
    <row r="116" spans="15:17" x14ac:dyDescent="0.7">
      <c r="P116" s="26"/>
      <c r="Q116" s="26"/>
    </row>
    <row r="117" spans="15:17" x14ac:dyDescent="0.7">
      <c r="P117" s="26"/>
      <c r="Q117" s="26"/>
    </row>
    <row r="118" spans="15:17" x14ac:dyDescent="0.7">
      <c r="P118" s="26"/>
      <c r="Q118" s="26"/>
    </row>
    <row r="119" spans="15:17" x14ac:dyDescent="0.7">
      <c r="P119" s="26"/>
      <c r="Q119" s="26"/>
    </row>
    <row r="120" spans="15:17" x14ac:dyDescent="0.7">
      <c r="P120" s="26"/>
      <c r="Q120" s="26"/>
    </row>
    <row r="121" spans="15:17" x14ac:dyDescent="0.7">
      <c r="P121" s="26"/>
      <c r="Q121" s="26"/>
    </row>
    <row r="122" spans="15:17" x14ac:dyDescent="0.7">
      <c r="P122" s="26"/>
      <c r="Q122" s="26"/>
    </row>
  </sheetData>
  <mergeCells count="12">
    <mergeCell ref="Y4:Y5"/>
    <mergeCell ref="O104:P104"/>
    <mergeCell ref="A4:A5"/>
    <mergeCell ref="M4:M5"/>
    <mergeCell ref="O4:O5"/>
    <mergeCell ref="P4:P5"/>
    <mergeCell ref="S4:S5"/>
    <mergeCell ref="F4:I4"/>
    <mergeCell ref="B4:E4"/>
    <mergeCell ref="J4:L4"/>
    <mergeCell ref="Q4:R4"/>
    <mergeCell ref="U4:U5"/>
  </mergeCells>
  <pageMargins left="0.7" right="0.7" top="0.5" bottom="0.25" header="0.3" footer="0.3"/>
  <pageSetup paperSize="9" scale="9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topLeftCell="A13" workbookViewId="0">
      <selection activeCell="C25" sqref="C25"/>
    </sheetView>
  </sheetViews>
  <sheetFormatPr defaultRowHeight="24.75" x14ac:dyDescent="0.7"/>
  <cols>
    <col min="1" max="1" width="12.42578125" style="16" customWidth="1"/>
    <col min="2" max="2" width="41.140625" style="16" customWidth="1"/>
    <col min="3" max="3" width="13" style="16" customWidth="1"/>
    <col min="4" max="4" width="9.7109375" style="16" bestFit="1" customWidth="1"/>
    <col min="5" max="5" width="15.42578125" style="16" bestFit="1" customWidth="1"/>
    <col min="6" max="6" width="13.5703125" style="16" customWidth="1"/>
    <col min="7" max="7" width="14.7109375" style="16" customWidth="1"/>
    <col min="8" max="8" width="19" style="16" customWidth="1"/>
    <col min="9" max="9" width="7.140625" style="16" customWidth="1"/>
    <col min="10" max="10" width="10.28515625" style="16" customWidth="1"/>
    <col min="11" max="11" width="23.140625" style="16" customWidth="1"/>
    <col min="12" max="12" width="38.7109375" style="16" customWidth="1"/>
    <col min="13" max="13" width="7.85546875" style="16" customWidth="1"/>
    <col min="14" max="14" width="14.7109375" style="16" customWidth="1"/>
    <col min="15" max="15" width="17.7109375" style="16" customWidth="1"/>
    <col min="16" max="16384" width="9.140625" style="16"/>
  </cols>
  <sheetData>
    <row r="1" spans="1:14" x14ac:dyDescent="0.7">
      <c r="A1" s="102" t="s">
        <v>24</v>
      </c>
      <c r="B1" s="102"/>
      <c r="C1" s="102"/>
      <c r="F1" s="40"/>
      <c r="G1" s="40"/>
      <c r="H1" s="40"/>
      <c r="I1" s="40"/>
      <c r="J1" s="40"/>
      <c r="K1" s="40"/>
      <c r="L1" s="40"/>
      <c r="M1" s="40"/>
      <c r="N1" s="40"/>
    </row>
    <row r="2" spans="1:14" x14ac:dyDescent="0.7">
      <c r="A2" s="17" t="s">
        <v>16</v>
      </c>
      <c r="B2" s="39" t="s">
        <v>17</v>
      </c>
      <c r="C2" s="37" t="s">
        <v>0</v>
      </c>
      <c r="F2" s="40"/>
      <c r="G2" s="41"/>
      <c r="H2" s="40"/>
      <c r="I2" s="40"/>
      <c r="J2" s="40"/>
      <c r="K2" s="40"/>
      <c r="L2" s="40"/>
      <c r="M2" s="40"/>
    </row>
    <row r="3" spans="1:14" x14ac:dyDescent="0.7">
      <c r="A3" s="25" t="s">
        <v>116</v>
      </c>
      <c r="B3" s="16" t="s">
        <v>130</v>
      </c>
      <c r="C3" s="16">
        <v>3500</v>
      </c>
      <c r="F3" s="40"/>
      <c r="G3" s="40"/>
      <c r="H3" s="40"/>
      <c r="I3" s="40"/>
      <c r="J3" s="40"/>
      <c r="K3" s="40"/>
      <c r="L3" s="40"/>
      <c r="M3" s="40"/>
    </row>
    <row r="4" spans="1:14" x14ac:dyDescent="0.7">
      <c r="A4" s="25"/>
      <c r="B4" s="16" t="s">
        <v>133</v>
      </c>
      <c r="C4" s="16">
        <v>7500</v>
      </c>
      <c r="F4" s="40"/>
      <c r="G4" s="40"/>
      <c r="H4" s="40"/>
      <c r="I4" s="40"/>
      <c r="J4" s="40"/>
      <c r="K4" s="40"/>
      <c r="L4" s="40"/>
      <c r="M4" s="40"/>
    </row>
    <row r="5" spans="1:14" x14ac:dyDescent="0.7">
      <c r="A5" s="25" t="s">
        <v>121</v>
      </c>
      <c r="B5" s="16" t="s">
        <v>131</v>
      </c>
      <c r="C5" s="16">
        <v>8000</v>
      </c>
      <c r="F5" s="40"/>
      <c r="G5" s="40"/>
      <c r="H5" s="40"/>
      <c r="I5" s="40"/>
      <c r="J5" s="40"/>
      <c r="K5" s="40"/>
      <c r="L5" s="40"/>
      <c r="M5" s="40"/>
    </row>
    <row r="6" spans="1:14" x14ac:dyDescent="0.7">
      <c r="A6" s="25"/>
      <c r="B6" s="16" t="s">
        <v>132</v>
      </c>
      <c r="C6" s="16">
        <v>9700</v>
      </c>
      <c r="F6" s="40"/>
      <c r="G6" s="40"/>
      <c r="H6" s="40"/>
      <c r="I6" s="40"/>
      <c r="J6" s="40"/>
      <c r="K6" s="40"/>
      <c r="L6" s="40"/>
      <c r="M6" s="40"/>
    </row>
    <row r="7" spans="1:14" x14ac:dyDescent="0.7">
      <c r="A7" s="25" t="s">
        <v>126</v>
      </c>
      <c r="B7" s="16" t="s">
        <v>134</v>
      </c>
      <c r="C7" s="16">
        <v>19000</v>
      </c>
      <c r="F7" s="40"/>
      <c r="G7" s="40"/>
      <c r="H7" s="40"/>
      <c r="I7" s="40"/>
      <c r="J7" s="40"/>
      <c r="K7" s="40"/>
      <c r="L7" s="40"/>
      <c r="M7" s="40"/>
    </row>
    <row r="8" spans="1:14" ht="25.5" customHeight="1" x14ac:dyDescent="0.7">
      <c r="A8" s="25"/>
      <c r="B8" s="16" t="s">
        <v>135</v>
      </c>
      <c r="C8" s="16">
        <v>41000</v>
      </c>
      <c r="F8" s="40"/>
      <c r="G8" s="40"/>
      <c r="H8" s="40"/>
      <c r="I8" s="40"/>
      <c r="J8" s="40"/>
      <c r="K8" s="40"/>
      <c r="L8" s="40"/>
      <c r="M8" s="40"/>
    </row>
    <row r="9" spans="1:14" x14ac:dyDescent="0.7">
      <c r="A9" s="25" t="s">
        <v>136</v>
      </c>
      <c r="B9" s="16" t="s">
        <v>156</v>
      </c>
      <c r="C9" s="16">
        <v>12500</v>
      </c>
      <c r="F9" s="40"/>
      <c r="G9" s="40"/>
      <c r="H9" s="40"/>
      <c r="I9" s="40"/>
      <c r="J9" s="40"/>
      <c r="K9" s="40"/>
      <c r="L9" s="40"/>
      <c r="M9" s="40"/>
    </row>
    <row r="10" spans="1:14" x14ac:dyDescent="0.7">
      <c r="A10" s="25" t="s">
        <v>148</v>
      </c>
      <c r="B10" s="16" t="s">
        <v>149</v>
      </c>
      <c r="C10" s="16">
        <v>2000</v>
      </c>
      <c r="F10" s="40"/>
      <c r="G10" s="40"/>
      <c r="H10" s="40"/>
      <c r="I10" s="40"/>
      <c r="J10" s="40"/>
      <c r="K10" s="40"/>
      <c r="L10" s="40"/>
      <c r="M10" s="40"/>
    </row>
    <row r="11" spans="1:14" x14ac:dyDescent="0.7">
      <c r="A11" s="25" t="s">
        <v>139</v>
      </c>
      <c r="B11" s="16" t="s">
        <v>150</v>
      </c>
      <c r="C11" s="16">
        <v>12000</v>
      </c>
      <c r="F11" s="40"/>
      <c r="G11" s="40"/>
      <c r="H11" s="40"/>
      <c r="I11" s="40"/>
      <c r="J11" s="40"/>
      <c r="K11" s="40"/>
      <c r="L11" s="40"/>
      <c r="M11" s="40"/>
    </row>
    <row r="12" spans="1:14" x14ac:dyDescent="0.7">
      <c r="A12" s="25" t="s">
        <v>141</v>
      </c>
      <c r="B12" s="16" t="s">
        <v>155</v>
      </c>
      <c r="C12" s="16">
        <v>2000</v>
      </c>
      <c r="F12" s="40"/>
      <c r="G12" s="40"/>
      <c r="H12" s="40"/>
      <c r="I12" s="40"/>
      <c r="J12" s="40"/>
      <c r="K12" s="40"/>
      <c r="L12" s="40"/>
      <c r="M12" s="40"/>
    </row>
    <row r="13" spans="1:14" x14ac:dyDescent="0.7">
      <c r="A13" s="25" t="s">
        <v>153</v>
      </c>
      <c r="B13" s="25" t="s">
        <v>154</v>
      </c>
      <c r="C13" s="16">
        <v>25000</v>
      </c>
      <c r="F13" s="40"/>
      <c r="G13" s="40"/>
      <c r="H13" s="40"/>
      <c r="I13" s="40"/>
      <c r="J13" s="40"/>
      <c r="K13" s="40"/>
      <c r="L13" s="40"/>
      <c r="M13" s="40"/>
    </row>
    <row r="14" spans="1:14" x14ac:dyDescent="0.7">
      <c r="A14" s="25" t="s">
        <v>157</v>
      </c>
      <c r="B14" s="25" t="s">
        <v>159</v>
      </c>
      <c r="C14" s="16">
        <v>3000</v>
      </c>
      <c r="F14" s="40"/>
      <c r="G14" s="40"/>
      <c r="H14" s="40"/>
      <c r="I14" s="40"/>
      <c r="J14" s="40"/>
      <c r="K14" s="40"/>
      <c r="L14" s="40"/>
      <c r="M14" s="40"/>
    </row>
    <row r="15" spans="1:14" x14ac:dyDescent="0.7">
      <c r="A15" s="25" t="s">
        <v>161</v>
      </c>
      <c r="B15" s="25" t="s">
        <v>179</v>
      </c>
      <c r="C15" s="16">
        <v>15000</v>
      </c>
      <c r="F15" s="40"/>
      <c r="G15" s="40"/>
      <c r="H15" s="40"/>
      <c r="I15" s="40"/>
      <c r="J15" s="40"/>
      <c r="K15" s="40"/>
      <c r="L15" s="40"/>
      <c r="M15" s="40"/>
    </row>
    <row r="16" spans="1:14" x14ac:dyDescent="0.7">
      <c r="A16" s="25" t="s">
        <v>162</v>
      </c>
      <c r="B16" s="16" t="s">
        <v>171</v>
      </c>
      <c r="C16" s="16">
        <v>9000</v>
      </c>
      <c r="F16" s="40"/>
      <c r="G16" s="40"/>
      <c r="H16" s="40"/>
      <c r="I16" s="40"/>
      <c r="J16" s="40"/>
      <c r="K16" s="40"/>
      <c r="L16" s="40"/>
      <c r="M16" s="40"/>
    </row>
    <row r="17" spans="1:13" x14ac:dyDescent="0.7">
      <c r="A17" s="25" t="s">
        <v>165</v>
      </c>
      <c r="B17" s="16" t="s">
        <v>172</v>
      </c>
      <c r="C17" s="16">
        <v>28500</v>
      </c>
      <c r="F17" s="40"/>
      <c r="G17" s="40"/>
      <c r="H17" s="40"/>
      <c r="I17" s="40"/>
      <c r="J17" s="40"/>
      <c r="K17" s="40"/>
      <c r="L17" s="40"/>
      <c r="M17" s="40"/>
    </row>
    <row r="18" spans="1:13" x14ac:dyDescent="0.7">
      <c r="A18" s="25" t="s">
        <v>167</v>
      </c>
      <c r="B18" s="16" t="s">
        <v>173</v>
      </c>
      <c r="C18" s="16">
        <v>9000</v>
      </c>
      <c r="F18" s="40"/>
      <c r="G18" s="40"/>
      <c r="H18" s="40"/>
      <c r="I18" s="40"/>
      <c r="J18" s="40"/>
      <c r="K18" s="40"/>
      <c r="L18" s="40"/>
      <c r="M18" s="40"/>
    </row>
    <row r="19" spans="1:13" x14ac:dyDescent="0.7">
      <c r="A19" s="25"/>
      <c r="B19" s="16" t="s">
        <v>174</v>
      </c>
      <c r="C19" s="16">
        <v>60000</v>
      </c>
      <c r="F19" s="40"/>
      <c r="G19" s="40"/>
      <c r="H19" s="40"/>
      <c r="I19" s="40"/>
      <c r="J19" s="40"/>
      <c r="K19" s="40"/>
      <c r="L19" s="40"/>
      <c r="M19" s="40"/>
    </row>
    <row r="20" spans="1:13" x14ac:dyDescent="0.7">
      <c r="A20" s="25"/>
      <c r="B20" s="16" t="s">
        <v>175</v>
      </c>
      <c r="C20" s="16">
        <v>30000</v>
      </c>
      <c r="F20" s="40"/>
      <c r="G20" s="40"/>
      <c r="H20" s="40"/>
      <c r="I20" s="40"/>
      <c r="J20" s="40"/>
      <c r="K20" s="40"/>
      <c r="L20" s="40"/>
      <c r="M20" s="40"/>
    </row>
    <row r="21" spans="1:13" x14ac:dyDescent="0.7">
      <c r="A21" s="25"/>
      <c r="B21" s="16" t="s">
        <v>176</v>
      </c>
      <c r="C21" s="16">
        <v>17000</v>
      </c>
      <c r="F21" s="40"/>
      <c r="G21" s="40"/>
      <c r="H21" s="40"/>
      <c r="I21" s="40"/>
      <c r="J21" s="40"/>
      <c r="K21" s="40"/>
      <c r="L21" s="40"/>
      <c r="M21" s="40"/>
    </row>
    <row r="22" spans="1:13" x14ac:dyDescent="0.7">
      <c r="A22" s="25"/>
      <c r="B22" s="16" t="s">
        <v>177</v>
      </c>
      <c r="C22" s="16">
        <v>25000</v>
      </c>
      <c r="F22" s="40"/>
      <c r="G22" s="40"/>
      <c r="H22" s="40"/>
      <c r="I22" s="40"/>
      <c r="J22" s="40"/>
      <c r="K22" s="40"/>
      <c r="L22" s="40"/>
      <c r="M22" s="40"/>
    </row>
    <row r="23" spans="1:13" x14ac:dyDescent="0.7">
      <c r="A23" s="25" t="s">
        <v>168</v>
      </c>
      <c r="B23" s="16" t="s">
        <v>180</v>
      </c>
      <c r="C23" s="16">
        <v>6500</v>
      </c>
      <c r="F23" s="40"/>
      <c r="G23" s="40"/>
      <c r="H23" s="40"/>
      <c r="I23" s="40"/>
      <c r="J23" s="40"/>
      <c r="K23" s="40"/>
      <c r="L23" s="40"/>
      <c r="M23" s="40"/>
    </row>
    <row r="24" spans="1:13" x14ac:dyDescent="0.7">
      <c r="A24" s="25" t="s">
        <v>181</v>
      </c>
      <c r="B24" s="16" t="s">
        <v>182</v>
      </c>
      <c r="C24" s="16">
        <v>5300</v>
      </c>
      <c r="F24" s="40"/>
      <c r="G24" s="40"/>
      <c r="H24" s="40"/>
      <c r="I24" s="40"/>
      <c r="J24" s="40"/>
      <c r="K24" s="40"/>
      <c r="L24" s="40"/>
      <c r="M24" s="40"/>
    </row>
    <row r="25" spans="1:13" x14ac:dyDescent="0.7">
      <c r="A25" s="25"/>
      <c r="F25" s="40"/>
      <c r="G25" s="40"/>
      <c r="H25" s="40"/>
      <c r="I25" s="40"/>
      <c r="J25" s="40"/>
      <c r="K25" s="40"/>
      <c r="L25" s="40"/>
      <c r="M25" s="40"/>
    </row>
    <row r="26" spans="1:13" x14ac:dyDescent="0.7">
      <c r="A26" s="25"/>
      <c r="F26" s="40"/>
      <c r="G26" s="40"/>
      <c r="H26" s="40"/>
      <c r="I26" s="40"/>
      <c r="J26" s="40"/>
      <c r="K26" s="40"/>
      <c r="L26" s="40"/>
      <c r="M26" s="40"/>
    </row>
    <row r="27" spans="1:13" x14ac:dyDescent="0.7">
      <c r="A27" s="25"/>
      <c r="F27" s="40"/>
      <c r="G27" s="40"/>
      <c r="H27" s="40"/>
      <c r="I27" s="40"/>
      <c r="J27" s="40"/>
      <c r="K27" s="40"/>
      <c r="L27" s="40"/>
      <c r="M27" s="40"/>
    </row>
    <row r="28" spans="1:13" x14ac:dyDescent="0.7">
      <c r="A28" s="25"/>
      <c r="F28" s="40"/>
      <c r="G28" s="40"/>
      <c r="H28" s="40"/>
      <c r="I28" s="40"/>
      <c r="J28" s="40"/>
      <c r="K28" s="40"/>
      <c r="L28" s="40"/>
      <c r="M28" s="40"/>
    </row>
    <row r="29" spans="1:13" x14ac:dyDescent="0.7">
      <c r="A29" s="25"/>
      <c r="F29" s="40"/>
      <c r="G29" s="40"/>
      <c r="H29" s="40"/>
      <c r="I29" s="40"/>
      <c r="J29" s="40"/>
      <c r="K29" s="40"/>
      <c r="L29" s="40"/>
      <c r="M29" s="40"/>
    </row>
    <row r="30" spans="1:13" x14ac:dyDescent="0.7">
      <c r="A30" s="25"/>
      <c r="F30" s="40"/>
      <c r="G30" s="40"/>
      <c r="H30" s="40"/>
      <c r="I30" s="40"/>
      <c r="J30" s="40"/>
      <c r="K30" s="40"/>
      <c r="L30" s="40"/>
      <c r="M30" s="40"/>
    </row>
    <row r="31" spans="1:13" x14ac:dyDescent="0.7">
      <c r="A31" s="25"/>
      <c r="F31" s="40"/>
      <c r="G31" s="40"/>
      <c r="H31" s="40"/>
      <c r="I31" s="40"/>
      <c r="J31" s="40"/>
      <c r="K31" s="40"/>
      <c r="L31" s="40"/>
      <c r="M31" s="40"/>
    </row>
    <row r="32" spans="1:13" x14ac:dyDescent="0.7">
      <c r="A32" s="25"/>
      <c r="F32" s="40"/>
      <c r="G32" s="40"/>
      <c r="H32" s="40"/>
      <c r="I32" s="40"/>
      <c r="J32" s="40"/>
      <c r="K32" s="40"/>
      <c r="L32" s="40"/>
      <c r="M32" s="40"/>
    </row>
    <row r="33" spans="1:13" x14ac:dyDescent="0.7">
      <c r="A33" s="25"/>
      <c r="F33" s="40"/>
      <c r="G33" s="40"/>
      <c r="H33" s="40"/>
      <c r="I33" s="40"/>
      <c r="J33" s="40"/>
      <c r="K33" s="40"/>
      <c r="L33" s="40"/>
      <c r="M33" s="40"/>
    </row>
    <row r="34" spans="1:13" x14ac:dyDescent="0.7">
      <c r="A34" s="25"/>
      <c r="F34" s="40"/>
      <c r="G34" s="40"/>
      <c r="H34" s="40"/>
      <c r="I34" s="40"/>
      <c r="J34" s="40"/>
      <c r="K34" s="40"/>
      <c r="L34" s="40"/>
      <c r="M34" s="40"/>
    </row>
    <row r="35" spans="1:13" x14ac:dyDescent="0.7">
      <c r="A35" s="25"/>
      <c r="F35" s="40"/>
      <c r="G35" s="40"/>
      <c r="H35" s="40"/>
      <c r="I35" s="40"/>
      <c r="J35" s="40"/>
      <c r="K35" s="40"/>
      <c r="L35" s="40"/>
      <c r="M35" s="40"/>
    </row>
    <row r="36" spans="1:13" x14ac:dyDescent="0.7">
      <c r="A36" s="25"/>
      <c r="F36" s="40"/>
      <c r="G36" s="40"/>
      <c r="H36" s="40"/>
      <c r="I36" s="40"/>
      <c r="J36" s="40"/>
      <c r="K36" s="40"/>
      <c r="L36" s="40"/>
      <c r="M36" s="40"/>
    </row>
    <row r="37" spans="1:13" x14ac:dyDescent="0.7">
      <c r="A37" s="25"/>
      <c r="F37" s="40"/>
      <c r="G37" s="40"/>
      <c r="H37" s="40"/>
      <c r="I37" s="40"/>
      <c r="J37" s="40"/>
      <c r="K37" s="40"/>
      <c r="L37" s="40"/>
      <c r="M37" s="40"/>
    </row>
    <row r="38" spans="1:13" x14ac:dyDescent="0.7">
      <c r="A38" s="25"/>
      <c r="F38" s="40"/>
      <c r="G38" s="40"/>
      <c r="H38" s="40"/>
      <c r="I38" s="40"/>
      <c r="J38" s="40"/>
      <c r="K38" s="40"/>
      <c r="L38" s="40"/>
      <c r="M38" s="40"/>
    </row>
    <row r="39" spans="1:13" x14ac:dyDescent="0.7">
      <c r="A39" s="25"/>
      <c r="F39" s="40"/>
      <c r="G39" s="40"/>
      <c r="H39" s="40"/>
      <c r="I39" s="40"/>
      <c r="J39" s="40"/>
      <c r="K39" s="40"/>
      <c r="L39" s="40"/>
      <c r="M39" s="40"/>
    </row>
    <row r="40" spans="1:13" x14ac:dyDescent="0.7">
      <c r="A40" s="25"/>
      <c r="F40" s="40"/>
      <c r="G40" s="40"/>
      <c r="H40" s="40"/>
      <c r="I40" s="40"/>
      <c r="J40" s="40"/>
      <c r="K40" s="40"/>
      <c r="L40" s="40"/>
      <c r="M40" s="40"/>
    </row>
    <row r="41" spans="1:13" x14ac:dyDescent="0.7">
      <c r="A41" s="25"/>
      <c r="F41" s="40"/>
      <c r="G41" s="40"/>
      <c r="H41" s="40"/>
      <c r="I41" s="40"/>
      <c r="J41" s="40"/>
      <c r="K41" s="40"/>
      <c r="L41" s="40"/>
      <c r="M41" s="40"/>
    </row>
    <row r="42" spans="1:13" x14ac:dyDescent="0.7">
      <c r="A42" s="25"/>
      <c r="F42" s="40"/>
      <c r="G42" s="40"/>
      <c r="H42" s="40"/>
      <c r="I42" s="40"/>
      <c r="J42" s="40"/>
      <c r="K42" s="40"/>
      <c r="L42" s="40"/>
      <c r="M42" s="40"/>
    </row>
    <row r="43" spans="1:13" x14ac:dyDescent="0.7">
      <c r="A43" s="25"/>
      <c r="F43" s="40"/>
      <c r="G43" s="40"/>
      <c r="H43" s="40"/>
      <c r="I43" s="40"/>
      <c r="J43" s="40"/>
      <c r="K43" s="40"/>
      <c r="L43" s="40"/>
      <c r="M43" s="40"/>
    </row>
    <row r="44" spans="1:13" x14ac:dyDescent="0.7">
      <c r="A44" s="25"/>
      <c r="F44" s="40"/>
      <c r="G44" s="40"/>
      <c r="H44" s="40"/>
      <c r="I44" s="40"/>
      <c r="J44" s="40"/>
      <c r="K44" s="40"/>
      <c r="L44" s="40"/>
      <c r="M44" s="40"/>
    </row>
    <row r="45" spans="1:13" x14ac:dyDescent="0.7">
      <c r="A45" s="25"/>
      <c r="F45" s="40"/>
      <c r="G45" s="40"/>
      <c r="H45" s="40"/>
      <c r="I45" s="40"/>
      <c r="J45" s="40"/>
      <c r="K45" s="40"/>
      <c r="L45" s="40"/>
      <c r="M45" s="40"/>
    </row>
    <row r="46" spans="1:13" x14ac:dyDescent="0.7">
      <c r="A46" s="25"/>
      <c r="F46" s="40"/>
      <c r="G46" s="40"/>
      <c r="H46" s="40"/>
      <c r="I46" s="40"/>
      <c r="J46" s="40"/>
      <c r="K46" s="40"/>
      <c r="L46" s="40"/>
      <c r="M46" s="40"/>
    </row>
    <row r="47" spans="1:13" x14ac:dyDescent="0.7">
      <c r="A47" s="25"/>
      <c r="F47" s="40"/>
      <c r="G47" s="40"/>
      <c r="H47" s="40"/>
      <c r="I47" s="40"/>
      <c r="J47" s="40"/>
      <c r="K47" s="40"/>
      <c r="L47" s="40"/>
      <c r="M47" s="40"/>
    </row>
    <row r="48" spans="1:13" x14ac:dyDescent="0.7">
      <c r="A48" s="25"/>
      <c r="F48" s="40"/>
      <c r="G48" s="40"/>
      <c r="H48" s="40"/>
      <c r="I48" s="40"/>
      <c r="J48" s="40"/>
      <c r="K48" s="40"/>
      <c r="L48" s="40"/>
      <c r="M48" s="40"/>
    </row>
    <row r="49" spans="1:13" x14ac:dyDescent="0.7">
      <c r="A49" s="25"/>
      <c r="F49" s="40"/>
      <c r="G49" s="40"/>
      <c r="H49" s="40"/>
      <c r="I49" s="40"/>
      <c r="J49" s="40"/>
      <c r="K49" s="40"/>
      <c r="L49" s="40"/>
      <c r="M49" s="40"/>
    </row>
    <row r="50" spans="1:13" x14ac:dyDescent="0.7">
      <c r="A50" s="25"/>
      <c r="F50" s="40"/>
      <c r="G50" s="40"/>
      <c r="H50" s="40"/>
      <c r="I50" s="40"/>
      <c r="J50" s="40"/>
      <c r="K50" s="40"/>
      <c r="L50" s="40"/>
      <c r="M50" s="40"/>
    </row>
    <row r="51" spans="1:13" x14ac:dyDescent="0.7">
      <c r="A51" s="25"/>
      <c r="F51" s="40"/>
      <c r="G51" s="40"/>
      <c r="H51" s="40"/>
      <c r="I51" s="40"/>
      <c r="J51" s="40"/>
      <c r="K51" s="40"/>
      <c r="L51" s="40"/>
      <c r="M51" s="40"/>
    </row>
    <row r="52" spans="1:13" x14ac:dyDescent="0.7">
      <c r="A52" s="25"/>
      <c r="F52" s="40"/>
      <c r="G52" s="40"/>
      <c r="H52" s="40"/>
      <c r="I52" s="40"/>
      <c r="J52" s="40"/>
      <c r="K52" s="40"/>
      <c r="L52" s="40"/>
      <c r="M52" s="40"/>
    </row>
    <row r="53" spans="1:13" x14ac:dyDescent="0.7">
      <c r="A53" s="25"/>
      <c r="F53" s="40"/>
      <c r="G53" s="40"/>
      <c r="H53" s="40"/>
      <c r="I53" s="40"/>
      <c r="J53" s="40"/>
      <c r="K53" s="40"/>
      <c r="L53" s="40"/>
      <c r="M53" s="40"/>
    </row>
    <row r="54" spans="1:13" x14ac:dyDescent="0.7">
      <c r="A54" s="25"/>
      <c r="F54" s="40"/>
      <c r="G54" s="40"/>
      <c r="H54" s="40"/>
      <c r="I54" s="40"/>
      <c r="J54" s="40"/>
      <c r="K54" s="40"/>
      <c r="L54" s="40"/>
      <c r="M54" s="40"/>
    </row>
    <row r="55" spans="1:13" x14ac:dyDescent="0.7">
      <c r="A55" s="25"/>
      <c r="F55" s="40"/>
      <c r="G55" s="40"/>
      <c r="H55" s="40"/>
      <c r="I55" s="40"/>
      <c r="J55" s="40"/>
      <c r="K55" s="40"/>
      <c r="L55" s="40"/>
      <c r="M55" s="40"/>
    </row>
    <row r="56" spans="1:13" x14ac:dyDescent="0.7">
      <c r="A56" s="25"/>
      <c r="F56" s="40"/>
      <c r="G56" s="40"/>
      <c r="H56" s="40"/>
      <c r="I56" s="40"/>
      <c r="J56" s="40"/>
      <c r="K56" s="40"/>
      <c r="L56" s="40"/>
      <c r="M56" s="40"/>
    </row>
    <row r="57" spans="1:13" x14ac:dyDescent="0.7">
      <c r="A57" s="25"/>
      <c r="F57" s="40"/>
      <c r="G57" s="40"/>
      <c r="H57" s="40"/>
      <c r="I57" s="40"/>
      <c r="J57" s="40"/>
      <c r="K57" s="40"/>
      <c r="L57" s="40"/>
      <c r="M57" s="40"/>
    </row>
    <row r="58" spans="1:13" x14ac:dyDescent="0.7">
      <c r="A58" s="25"/>
      <c r="F58" s="40"/>
      <c r="G58" s="40"/>
      <c r="H58" s="40"/>
      <c r="I58" s="40"/>
      <c r="J58" s="40"/>
      <c r="K58" s="40"/>
      <c r="L58" s="40"/>
      <c r="M58" s="40"/>
    </row>
    <row r="59" spans="1:13" x14ac:dyDescent="0.7">
      <c r="A59" s="25"/>
      <c r="F59" s="40"/>
      <c r="G59" s="40"/>
      <c r="H59" s="40"/>
      <c r="I59" s="40"/>
      <c r="J59" s="40"/>
      <c r="K59" s="40"/>
      <c r="L59" s="40"/>
      <c r="M59" s="40"/>
    </row>
    <row r="60" spans="1:13" x14ac:dyDescent="0.7">
      <c r="A60" s="25"/>
      <c r="F60" s="40"/>
      <c r="G60" s="40"/>
      <c r="H60" s="40"/>
      <c r="I60" s="40"/>
      <c r="J60" s="40"/>
      <c r="K60" s="40"/>
      <c r="L60" s="40"/>
      <c r="M60" s="40"/>
    </row>
    <row r="61" spans="1:13" x14ac:dyDescent="0.7">
      <c r="A61" s="25"/>
      <c r="F61" s="40"/>
      <c r="G61" s="40"/>
      <c r="H61" s="40"/>
      <c r="I61" s="40"/>
      <c r="J61" s="40"/>
      <c r="K61" s="40"/>
      <c r="L61" s="40"/>
      <c r="M61" s="40"/>
    </row>
    <row r="62" spans="1:13" ht="25.5" customHeight="1" x14ac:dyDescent="0.7">
      <c r="A62" s="25"/>
    </row>
    <row r="63" spans="1:13" x14ac:dyDescent="0.7">
      <c r="B63" s="17" t="s">
        <v>20</v>
      </c>
      <c r="C63" s="17">
        <f>SUM(C3:C62)</f>
        <v>350500</v>
      </c>
    </row>
    <row r="64" spans="1:13" x14ac:dyDescent="0.7">
      <c r="A64" s="17"/>
    </row>
    <row r="67" spans="2:3" x14ac:dyDescent="0.7">
      <c r="B67" s="17"/>
      <c r="C67" s="17"/>
    </row>
    <row r="68" spans="2:3" x14ac:dyDescent="0.7">
      <c r="B68" s="17"/>
      <c r="C68" s="17"/>
    </row>
  </sheetData>
  <mergeCells count="1">
    <mergeCell ref="A1:C1"/>
  </mergeCells>
  <pageMargins left="0.7" right="0.7" top="0.75" bottom="0.75" header="0.3" footer="0.3"/>
  <pageSetup paperSize="9" scale="90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opLeftCell="A7" workbookViewId="0">
      <selection activeCell="J13" sqref="J13"/>
    </sheetView>
  </sheetViews>
  <sheetFormatPr defaultRowHeight="28.5" x14ac:dyDescent="0.8"/>
  <cols>
    <col min="1" max="1" width="9.140625" style="1"/>
    <col min="2" max="2" width="27.5703125" style="1" customWidth="1"/>
    <col min="3" max="3" width="21.5703125" style="1" customWidth="1"/>
    <col min="4" max="4" width="14.85546875" style="1" customWidth="1"/>
    <col min="5" max="5" width="25.5703125" style="1" customWidth="1"/>
    <col min="6" max="8" width="9.140625" style="1"/>
    <col min="9" max="9" width="10.28515625" style="1" customWidth="1"/>
    <col min="10" max="10" width="20.140625" style="1" customWidth="1"/>
    <col min="11" max="11" width="9.85546875" style="1" bestFit="1" customWidth="1"/>
    <col min="12" max="16384" width="9.140625" style="1"/>
  </cols>
  <sheetData>
    <row r="1" spans="1:10" ht="38.25" customHeight="1" x14ac:dyDescent="0.8">
      <c r="A1" s="115" t="s">
        <v>7</v>
      </c>
      <c r="B1" s="115"/>
      <c r="C1" s="115"/>
      <c r="D1" s="115"/>
      <c r="E1" s="115"/>
    </row>
    <row r="2" spans="1:10" ht="31.5" customHeight="1" x14ac:dyDescent="0.8">
      <c r="A2" s="116" t="s">
        <v>6</v>
      </c>
      <c r="B2" s="116"/>
      <c r="C2" s="116"/>
      <c r="D2" s="116"/>
      <c r="E2" s="116"/>
    </row>
    <row r="3" spans="1:10" ht="27.75" customHeight="1" x14ac:dyDescent="0.9">
      <c r="A3" s="6"/>
      <c r="B3" s="6" t="s">
        <v>5</v>
      </c>
      <c r="C3" s="6"/>
      <c r="D3" s="6"/>
      <c r="E3" s="7" t="s">
        <v>151</v>
      </c>
    </row>
    <row r="4" spans="1:10" ht="27.75" customHeight="1" x14ac:dyDescent="0.8">
      <c r="A4" s="5" t="s">
        <v>4</v>
      </c>
      <c r="B4" s="5" t="s">
        <v>3</v>
      </c>
      <c r="C4" s="5" t="s">
        <v>2</v>
      </c>
      <c r="D4" s="5" t="s">
        <v>1</v>
      </c>
      <c r="E4" s="5"/>
    </row>
    <row r="5" spans="1:10" ht="27.75" customHeight="1" x14ac:dyDescent="0.8">
      <c r="A5" s="2">
        <v>1</v>
      </c>
      <c r="B5" s="2" t="s">
        <v>152</v>
      </c>
      <c r="C5" s="19">
        <v>10</v>
      </c>
      <c r="D5" s="19">
        <v>2400</v>
      </c>
      <c r="E5" s="20">
        <f>C5*D5</f>
        <v>24000</v>
      </c>
    </row>
    <row r="6" spans="1:10" ht="27.75" customHeight="1" x14ac:dyDescent="0.8">
      <c r="A6" s="2"/>
      <c r="B6" s="2"/>
      <c r="C6" s="19"/>
      <c r="D6" s="19"/>
      <c r="E6" s="20"/>
    </row>
    <row r="7" spans="1:10" ht="27.75" customHeight="1" x14ac:dyDescent="0.8">
      <c r="A7" s="2"/>
      <c r="B7" s="2"/>
      <c r="C7" s="19"/>
      <c r="D7" s="19"/>
      <c r="E7" s="20"/>
      <c r="J7" s="15"/>
    </row>
    <row r="8" spans="1:10" ht="27.75" customHeight="1" x14ac:dyDescent="0.8">
      <c r="A8" s="2"/>
      <c r="B8" s="2"/>
      <c r="C8" s="19"/>
      <c r="D8" s="19"/>
      <c r="E8" s="20"/>
      <c r="J8" s="24"/>
    </row>
    <row r="9" spans="1:10" ht="27.75" customHeight="1" x14ac:dyDescent="0.9">
      <c r="A9" s="2"/>
      <c r="B9" s="2"/>
      <c r="C9" s="19"/>
      <c r="D9" s="19"/>
      <c r="E9" s="20"/>
      <c r="I9" s="6"/>
    </row>
    <row r="10" spans="1:10" ht="27.75" customHeight="1" x14ac:dyDescent="0.8">
      <c r="A10" s="2"/>
      <c r="B10" s="2"/>
      <c r="C10" s="19"/>
      <c r="D10" s="19"/>
      <c r="E10" s="20"/>
    </row>
    <row r="11" spans="1:10" ht="27.75" customHeight="1" x14ac:dyDescent="0.8">
      <c r="A11" s="2"/>
      <c r="B11" s="2"/>
      <c r="C11" s="19"/>
      <c r="D11" s="19"/>
      <c r="E11" s="20"/>
      <c r="J11" s="24"/>
    </row>
    <row r="12" spans="1:10" ht="27.75" customHeight="1" x14ac:dyDescent="0.8">
      <c r="A12" s="4"/>
      <c r="B12" s="3"/>
      <c r="C12" s="21"/>
      <c r="D12" s="22" t="s">
        <v>8</v>
      </c>
      <c r="E12" s="23">
        <f>SUM(E5:E11)</f>
        <v>24000</v>
      </c>
    </row>
    <row r="13" spans="1:10" ht="27.75" customHeight="1" x14ac:dyDescent="0.8">
      <c r="A13" s="12"/>
      <c r="B13" s="12"/>
      <c r="C13" s="12"/>
      <c r="D13" s="13"/>
      <c r="E13" s="14"/>
    </row>
    <row r="14" spans="1:10" ht="27.75" customHeight="1" x14ac:dyDescent="0.8">
      <c r="A14" s="9"/>
      <c r="B14" s="9"/>
      <c r="C14" s="9"/>
      <c r="D14" s="10"/>
      <c r="E14" s="11"/>
    </row>
    <row r="15" spans="1:10" ht="38.25" customHeight="1" x14ac:dyDescent="0.8">
      <c r="A15" s="115" t="s">
        <v>7</v>
      </c>
      <c r="B15" s="115"/>
      <c r="C15" s="115"/>
      <c r="D15" s="115"/>
      <c r="E15" s="115"/>
      <c r="J15" s="1" t="s">
        <v>92</v>
      </c>
    </row>
    <row r="16" spans="1:10" ht="41.25" customHeight="1" x14ac:dyDescent="0.8">
      <c r="A16" s="116" t="s">
        <v>6</v>
      </c>
      <c r="B16" s="116"/>
      <c r="C16" s="116"/>
      <c r="D16" s="116"/>
      <c r="E16" s="116"/>
    </row>
    <row r="17" spans="1:15" ht="27.75" customHeight="1" x14ac:dyDescent="0.9">
      <c r="A17" s="6"/>
      <c r="B17" s="6" t="s">
        <v>5</v>
      </c>
      <c r="C17" s="6"/>
      <c r="D17" s="6"/>
      <c r="E17" s="7" t="s">
        <v>105</v>
      </c>
      <c r="O17" s="1" t="s">
        <v>27</v>
      </c>
    </row>
    <row r="18" spans="1:15" ht="27.75" customHeight="1" x14ac:dyDescent="0.8">
      <c r="A18" s="5" t="s">
        <v>4</v>
      </c>
      <c r="B18" s="5" t="s">
        <v>3</v>
      </c>
      <c r="C18" s="5" t="s">
        <v>2</v>
      </c>
      <c r="D18" s="5" t="s">
        <v>1</v>
      </c>
      <c r="E18" s="5" t="s">
        <v>0</v>
      </c>
    </row>
    <row r="19" spans="1:15" ht="27.75" customHeight="1" x14ac:dyDescent="0.8">
      <c r="A19" s="2">
        <v>1</v>
      </c>
      <c r="B19" s="2" t="s">
        <v>9</v>
      </c>
      <c r="C19" s="19"/>
      <c r="D19" s="19"/>
      <c r="E19" s="20">
        <f>C1</f>
        <v>0</v>
      </c>
    </row>
    <row r="20" spans="1:15" ht="30" customHeight="1" x14ac:dyDescent="0.8">
      <c r="A20" s="2"/>
      <c r="B20" s="2"/>
      <c r="C20" s="19"/>
      <c r="D20" s="19"/>
      <c r="E20" s="20"/>
    </row>
    <row r="21" spans="1:15" ht="27.75" customHeight="1" x14ac:dyDescent="0.8">
      <c r="A21" s="2"/>
      <c r="C21" s="2"/>
      <c r="D21" s="2"/>
      <c r="E21" s="20"/>
    </row>
    <row r="22" spans="1:15" ht="27.75" customHeight="1" x14ac:dyDescent="0.8">
      <c r="A22" s="2"/>
      <c r="B22" s="2"/>
      <c r="C22" s="2"/>
      <c r="D22" s="2"/>
      <c r="E22" s="20"/>
    </row>
    <row r="23" spans="1:15" ht="27.75" customHeight="1" x14ac:dyDescent="0.8">
      <c r="A23" s="2"/>
      <c r="B23" s="2"/>
      <c r="C23" s="2"/>
      <c r="D23" s="2"/>
      <c r="E23" s="20"/>
    </row>
    <row r="24" spans="1:15" ht="27.75" customHeight="1" x14ac:dyDescent="0.8">
      <c r="A24" s="2"/>
      <c r="B24" s="2"/>
      <c r="C24" s="2"/>
      <c r="D24" s="2"/>
      <c r="E24" s="20"/>
    </row>
    <row r="25" spans="1:15" ht="27.75" customHeight="1" x14ac:dyDescent="0.8">
      <c r="A25" s="2"/>
      <c r="B25" s="2"/>
      <c r="C25" s="2"/>
      <c r="D25" s="2"/>
      <c r="E25" s="20"/>
    </row>
    <row r="26" spans="1:15" ht="27.75" customHeight="1" x14ac:dyDescent="0.8">
      <c r="A26" s="4"/>
      <c r="B26" s="3"/>
      <c r="C26" s="3"/>
      <c r="D26" s="8" t="s">
        <v>8</v>
      </c>
      <c r="E26" s="23">
        <f>E19</f>
        <v>0</v>
      </c>
    </row>
    <row r="27" spans="1:15" ht="27.75" customHeight="1" x14ac:dyDescent="0.8">
      <c r="C27" s="1" t="s">
        <v>92</v>
      </c>
    </row>
    <row r="28" spans="1:15" ht="27.75" customHeight="1" x14ac:dyDescent="0.8"/>
  </sheetData>
  <mergeCells count="4">
    <mergeCell ref="A1:E1"/>
    <mergeCell ref="A2:E2"/>
    <mergeCell ref="A15:E15"/>
    <mergeCell ref="A16:E16"/>
  </mergeCells>
  <pageMargins left="0" right="0" top="0.75" bottom="0.2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L35" sqref="L35:M35"/>
    </sheetView>
  </sheetViews>
  <sheetFormatPr defaultRowHeight="28.5" x14ac:dyDescent="0.8"/>
  <cols>
    <col min="1" max="8" width="16.140625" style="1" customWidth="1"/>
    <col min="9" max="9" width="15.7109375" style="1" customWidth="1"/>
    <col min="10" max="16" width="11.140625" style="1" customWidth="1"/>
    <col min="17" max="17" width="10.85546875" style="1" customWidth="1"/>
    <col min="18" max="18" width="12.140625" style="1" customWidth="1"/>
    <col min="19" max="19" width="10.85546875" style="1" customWidth="1"/>
    <col min="20" max="22" width="9.140625" style="1"/>
    <col min="23" max="23" width="10.28515625" style="1" customWidth="1"/>
    <col min="24" max="24" width="20.140625" style="1" customWidth="1"/>
    <col min="25" max="25" width="9.85546875" style="1" bestFit="1" customWidth="1"/>
    <col min="26" max="16384" width="9.140625" style="1"/>
  </cols>
  <sheetData>
    <row r="1" spans="1:16" ht="30.75" customHeight="1" x14ac:dyDescent="0.8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 ht="30.75" customHeight="1" x14ac:dyDescent="0.8">
      <c r="A2" s="43" t="s">
        <v>32</v>
      </c>
      <c r="B2" s="43" t="s">
        <v>32</v>
      </c>
      <c r="C2" s="43" t="s">
        <v>32</v>
      </c>
      <c r="D2" s="43" t="s">
        <v>32</v>
      </c>
      <c r="E2" s="43" t="s">
        <v>32</v>
      </c>
      <c r="F2" s="43" t="s">
        <v>32</v>
      </c>
      <c r="G2" s="43" t="s">
        <v>32</v>
      </c>
      <c r="H2" s="43"/>
      <c r="I2" s="43"/>
      <c r="J2" s="43"/>
      <c r="K2" s="43"/>
      <c r="L2" s="43"/>
      <c r="M2" s="43"/>
      <c r="N2" s="43"/>
      <c r="O2" s="43"/>
      <c r="P2" s="43"/>
    </row>
    <row r="3" spans="1:16" ht="30.75" customHeight="1" x14ac:dyDescent="0.8">
      <c r="A3" s="43" t="s">
        <v>32</v>
      </c>
      <c r="B3" s="43" t="s">
        <v>32</v>
      </c>
      <c r="C3" s="43" t="s">
        <v>32</v>
      </c>
      <c r="D3" s="43" t="s">
        <v>32</v>
      </c>
      <c r="E3" s="43" t="s">
        <v>32</v>
      </c>
      <c r="F3" s="43" t="s">
        <v>32</v>
      </c>
      <c r="G3" s="43" t="s">
        <v>32</v>
      </c>
      <c r="H3" s="43"/>
      <c r="I3" s="43"/>
      <c r="J3" s="43"/>
      <c r="K3" s="43"/>
      <c r="L3" s="43"/>
      <c r="M3" s="43"/>
      <c r="N3" s="43"/>
      <c r="O3" s="43"/>
      <c r="P3" s="43"/>
    </row>
    <row r="4" spans="1:16" ht="30.75" customHeight="1" x14ac:dyDescent="0.8">
      <c r="A4" s="43" t="s">
        <v>32</v>
      </c>
      <c r="B4" s="43" t="s">
        <v>32</v>
      </c>
      <c r="C4" s="43" t="s">
        <v>32</v>
      </c>
      <c r="D4" s="43" t="s">
        <v>32</v>
      </c>
      <c r="E4" s="43" t="s">
        <v>32</v>
      </c>
      <c r="F4" s="43" t="s">
        <v>32</v>
      </c>
      <c r="G4" s="43" t="s">
        <v>32</v>
      </c>
      <c r="H4" s="43"/>
      <c r="I4" s="43"/>
      <c r="J4" s="43"/>
      <c r="K4" s="43"/>
      <c r="L4" s="43"/>
      <c r="M4" s="43"/>
      <c r="N4" s="43"/>
      <c r="O4" s="43"/>
      <c r="P4" s="43"/>
    </row>
    <row r="5" spans="1:16" ht="30.75" customHeight="1" x14ac:dyDescent="0.8">
      <c r="A5" s="43" t="s">
        <v>32</v>
      </c>
      <c r="B5" s="43" t="s">
        <v>32</v>
      </c>
      <c r="C5" s="43" t="s">
        <v>32</v>
      </c>
      <c r="D5" s="43" t="s">
        <v>32</v>
      </c>
      <c r="E5" s="43" t="s">
        <v>32</v>
      </c>
      <c r="F5" s="43" t="s">
        <v>32</v>
      </c>
      <c r="G5" s="43" t="s">
        <v>32</v>
      </c>
      <c r="H5" s="43"/>
      <c r="I5" s="43"/>
      <c r="J5" s="43"/>
      <c r="K5" s="43"/>
      <c r="L5" s="43"/>
      <c r="M5" s="43"/>
      <c r="N5" s="43"/>
      <c r="O5" s="43"/>
      <c r="P5" s="43"/>
    </row>
    <row r="6" spans="1:16" ht="30.75" customHeight="1" x14ac:dyDescent="0.8">
      <c r="A6" s="43" t="s">
        <v>32</v>
      </c>
      <c r="B6" s="43" t="s">
        <v>32</v>
      </c>
      <c r="C6" s="43" t="s">
        <v>32</v>
      </c>
      <c r="D6" s="43" t="s">
        <v>32</v>
      </c>
      <c r="E6" s="43" t="s">
        <v>32</v>
      </c>
      <c r="F6" s="43" t="s">
        <v>32</v>
      </c>
      <c r="G6" s="43" t="s">
        <v>32</v>
      </c>
      <c r="H6" s="43"/>
      <c r="I6" s="43"/>
      <c r="J6" s="43"/>
      <c r="K6" s="43"/>
      <c r="L6" s="43"/>
      <c r="M6" s="43"/>
      <c r="N6" s="43"/>
      <c r="O6" s="43"/>
      <c r="P6" s="43"/>
    </row>
    <row r="7" spans="1:16" ht="30.75" customHeight="1" x14ac:dyDescent="0.8">
      <c r="A7" s="43" t="s">
        <v>32</v>
      </c>
      <c r="B7" s="43" t="s">
        <v>32</v>
      </c>
      <c r="C7" s="43" t="s">
        <v>32</v>
      </c>
      <c r="D7" s="43" t="s">
        <v>32</v>
      </c>
      <c r="E7" s="43" t="s">
        <v>32</v>
      </c>
      <c r="F7" s="43" t="s">
        <v>32</v>
      </c>
      <c r="G7" s="43" t="s">
        <v>32</v>
      </c>
      <c r="H7" s="43"/>
      <c r="I7" s="43"/>
      <c r="J7" s="43"/>
      <c r="K7" s="43"/>
      <c r="L7" s="43"/>
      <c r="M7" s="43"/>
      <c r="N7" s="43"/>
      <c r="O7" s="43"/>
      <c r="P7" s="43"/>
    </row>
    <row r="8" spans="1:16" ht="30.75" customHeight="1" x14ac:dyDescent="0.8">
      <c r="A8" s="43" t="s">
        <v>32</v>
      </c>
      <c r="B8" s="43" t="s">
        <v>32</v>
      </c>
      <c r="C8" s="43" t="s">
        <v>32</v>
      </c>
      <c r="D8" s="43" t="s">
        <v>32</v>
      </c>
      <c r="E8" s="43" t="s">
        <v>32</v>
      </c>
      <c r="F8" s="43" t="s">
        <v>32</v>
      </c>
      <c r="G8" s="43" t="s">
        <v>32</v>
      </c>
      <c r="H8" s="43"/>
      <c r="I8" s="43"/>
      <c r="J8" s="43"/>
      <c r="K8" s="43"/>
      <c r="L8" s="43"/>
      <c r="M8" s="43"/>
      <c r="N8" s="43"/>
      <c r="O8" s="43"/>
      <c r="P8" s="43"/>
    </row>
    <row r="9" spans="1:16" ht="30.75" customHeight="1" x14ac:dyDescent="0.8">
      <c r="A9" s="43" t="s">
        <v>32</v>
      </c>
      <c r="B9" s="43" t="s">
        <v>32</v>
      </c>
      <c r="C9" s="43" t="s">
        <v>32</v>
      </c>
      <c r="D9" s="43" t="s">
        <v>32</v>
      </c>
      <c r="E9" s="43" t="s">
        <v>32</v>
      </c>
      <c r="F9" s="43" t="s">
        <v>32</v>
      </c>
      <c r="G9" s="43" t="s">
        <v>32</v>
      </c>
      <c r="H9" s="43"/>
      <c r="I9" s="43"/>
      <c r="J9" s="43"/>
      <c r="K9" s="43"/>
      <c r="L9" s="43"/>
      <c r="M9" s="43"/>
      <c r="N9" s="43"/>
      <c r="O9" s="43"/>
      <c r="P9" s="43"/>
    </row>
    <row r="10" spans="1:16" ht="30.75" customHeight="1" x14ac:dyDescent="0.8">
      <c r="A10" s="43" t="s">
        <v>32</v>
      </c>
      <c r="B10" s="43" t="s">
        <v>32</v>
      </c>
      <c r="C10" s="43" t="s">
        <v>32</v>
      </c>
      <c r="D10" s="43" t="s">
        <v>32</v>
      </c>
      <c r="E10" s="43" t="s">
        <v>32</v>
      </c>
      <c r="F10" s="43" t="s">
        <v>32</v>
      </c>
      <c r="G10" s="43" t="s">
        <v>32</v>
      </c>
      <c r="H10" s="43"/>
      <c r="I10" s="43"/>
      <c r="J10" s="43"/>
      <c r="K10" s="43"/>
      <c r="L10" s="43"/>
      <c r="M10" s="43"/>
      <c r="N10" s="43"/>
      <c r="O10" s="43"/>
      <c r="P10" s="43"/>
    </row>
    <row r="11" spans="1:16" ht="30.75" customHeight="1" x14ac:dyDescent="0.8">
      <c r="A11" s="43" t="s">
        <v>32</v>
      </c>
      <c r="B11" s="43" t="s">
        <v>32</v>
      </c>
      <c r="C11" s="43" t="s">
        <v>32</v>
      </c>
      <c r="D11" s="43" t="s">
        <v>32</v>
      </c>
      <c r="E11" s="43" t="s">
        <v>32</v>
      </c>
      <c r="F11" s="43" t="s">
        <v>32</v>
      </c>
      <c r="G11" s="43" t="s">
        <v>32</v>
      </c>
      <c r="H11" s="43"/>
      <c r="I11" s="43"/>
      <c r="J11" s="43"/>
      <c r="K11" s="43"/>
      <c r="L11" s="43"/>
      <c r="M11" s="43"/>
      <c r="N11" s="43"/>
      <c r="O11" s="43"/>
      <c r="P11" s="43"/>
    </row>
    <row r="12" spans="1:16" ht="30.75" customHeight="1" x14ac:dyDescent="0.8">
      <c r="A12" s="43" t="s">
        <v>32</v>
      </c>
      <c r="B12" s="43" t="s">
        <v>32</v>
      </c>
      <c r="C12" s="43" t="s">
        <v>32</v>
      </c>
      <c r="D12" s="43" t="s">
        <v>32</v>
      </c>
      <c r="E12" s="43" t="s">
        <v>32</v>
      </c>
      <c r="F12" s="43" t="s">
        <v>32</v>
      </c>
      <c r="G12" s="43" t="s">
        <v>32</v>
      </c>
      <c r="H12" s="43"/>
      <c r="I12" s="43"/>
      <c r="J12" s="43"/>
      <c r="K12" s="43"/>
      <c r="L12" s="43"/>
      <c r="M12" s="43"/>
      <c r="N12" s="43"/>
      <c r="O12" s="43"/>
      <c r="P12" s="43"/>
    </row>
    <row r="13" spans="1:16" ht="30.75" customHeight="1" x14ac:dyDescent="0.8">
      <c r="A13" s="43" t="s">
        <v>32</v>
      </c>
      <c r="B13" s="43" t="s">
        <v>32</v>
      </c>
      <c r="C13" s="43" t="s">
        <v>32</v>
      </c>
      <c r="D13" s="43" t="s">
        <v>32</v>
      </c>
      <c r="E13" s="43" t="s">
        <v>32</v>
      </c>
      <c r="F13" s="43" t="s">
        <v>32</v>
      </c>
      <c r="G13" s="43" t="s">
        <v>32</v>
      </c>
      <c r="H13" s="43"/>
      <c r="I13" s="43"/>
      <c r="J13" s="43"/>
      <c r="K13" s="43"/>
      <c r="L13" s="43"/>
      <c r="M13" s="43"/>
      <c r="N13" s="43"/>
      <c r="O13" s="43"/>
      <c r="P13" s="43"/>
    </row>
    <row r="14" spans="1:16" ht="30.75" customHeight="1" x14ac:dyDescent="0.8">
      <c r="A14" s="43" t="s">
        <v>32</v>
      </c>
      <c r="B14" s="43" t="s">
        <v>32</v>
      </c>
      <c r="C14" s="43" t="s">
        <v>32</v>
      </c>
      <c r="D14" s="43" t="s">
        <v>32</v>
      </c>
      <c r="E14" s="43" t="s">
        <v>32</v>
      </c>
      <c r="F14" s="43" t="s">
        <v>32</v>
      </c>
      <c r="G14" s="43" t="s">
        <v>32</v>
      </c>
      <c r="H14" s="43"/>
      <c r="I14" s="43"/>
      <c r="J14" s="43"/>
      <c r="K14" s="43"/>
      <c r="L14" s="43"/>
      <c r="M14" s="43"/>
      <c r="N14" s="43"/>
      <c r="O14" s="43"/>
      <c r="P14" s="43"/>
    </row>
    <row r="15" spans="1:16" ht="30.75" customHeight="1" x14ac:dyDescent="0.8">
      <c r="A15" s="43" t="s">
        <v>32</v>
      </c>
      <c r="B15" s="43" t="s">
        <v>32</v>
      </c>
      <c r="C15" s="43" t="s">
        <v>32</v>
      </c>
      <c r="D15" s="43" t="s">
        <v>32</v>
      </c>
      <c r="E15" s="43" t="s">
        <v>32</v>
      </c>
      <c r="F15" s="43" t="s">
        <v>32</v>
      </c>
      <c r="G15" s="43" t="s">
        <v>32</v>
      </c>
      <c r="H15" s="43"/>
      <c r="I15" s="43"/>
      <c r="J15" s="43"/>
      <c r="K15" s="43"/>
      <c r="L15" s="43"/>
      <c r="M15" s="43"/>
      <c r="N15" s="43"/>
      <c r="O15" s="43"/>
      <c r="P15" s="43"/>
    </row>
    <row r="16" spans="1:16" ht="30.75" customHeight="1" x14ac:dyDescent="0.8">
      <c r="A16" s="43" t="s">
        <v>32</v>
      </c>
      <c r="B16" s="43" t="s">
        <v>32</v>
      </c>
      <c r="C16" s="43" t="s">
        <v>32</v>
      </c>
      <c r="D16" s="43" t="s">
        <v>32</v>
      </c>
      <c r="E16" s="43" t="s">
        <v>32</v>
      </c>
      <c r="F16" s="43" t="s">
        <v>32</v>
      </c>
      <c r="G16" s="43" t="s">
        <v>32</v>
      </c>
      <c r="H16" s="43"/>
      <c r="I16" s="43"/>
      <c r="J16" s="43"/>
      <c r="K16" s="43"/>
      <c r="L16" s="43"/>
      <c r="M16" s="43"/>
      <c r="N16" s="43"/>
      <c r="O16" s="43"/>
      <c r="P16" s="43"/>
    </row>
    <row r="17" spans="1:16" ht="30.75" customHeight="1" x14ac:dyDescent="0.8">
      <c r="A17" s="43" t="s">
        <v>32</v>
      </c>
      <c r="B17" s="43" t="s">
        <v>32</v>
      </c>
      <c r="C17" s="43" t="s">
        <v>32</v>
      </c>
      <c r="D17" s="43" t="s">
        <v>32</v>
      </c>
      <c r="E17" s="43" t="s">
        <v>32</v>
      </c>
      <c r="F17" s="43" t="s">
        <v>32</v>
      </c>
      <c r="G17" s="43" t="s">
        <v>32</v>
      </c>
      <c r="H17" s="43"/>
      <c r="I17" s="43"/>
      <c r="J17" s="43"/>
      <c r="K17" s="43"/>
      <c r="L17" s="43"/>
      <c r="M17" s="43"/>
      <c r="N17" s="43"/>
      <c r="O17" s="43"/>
      <c r="P17" s="43"/>
    </row>
    <row r="18" spans="1:16" ht="30.75" customHeight="1" x14ac:dyDescent="0.8">
      <c r="A18" s="43" t="s">
        <v>32</v>
      </c>
      <c r="B18" s="43" t="s">
        <v>32</v>
      </c>
      <c r="C18" s="43" t="s">
        <v>32</v>
      </c>
      <c r="D18" s="43" t="s">
        <v>32</v>
      </c>
      <c r="E18" s="43" t="s">
        <v>32</v>
      </c>
      <c r="F18" s="43" t="s">
        <v>32</v>
      </c>
      <c r="G18" s="43" t="s">
        <v>32</v>
      </c>
      <c r="H18" s="43"/>
      <c r="I18" s="43"/>
      <c r="J18" s="43"/>
      <c r="K18" s="43"/>
      <c r="L18" s="43"/>
      <c r="M18" s="43"/>
      <c r="N18" s="43"/>
      <c r="O18" s="43"/>
      <c r="P18" s="43"/>
    </row>
    <row r="19" spans="1:16" ht="30.75" customHeight="1" x14ac:dyDescent="0.8">
      <c r="A19" s="43" t="s">
        <v>32</v>
      </c>
      <c r="B19" s="43" t="s">
        <v>32</v>
      </c>
      <c r="C19" s="43" t="s">
        <v>32</v>
      </c>
      <c r="D19" s="43" t="s">
        <v>32</v>
      </c>
      <c r="E19" s="43" t="s">
        <v>32</v>
      </c>
      <c r="F19" s="43" t="s">
        <v>32</v>
      </c>
      <c r="G19" s="43" t="s">
        <v>32</v>
      </c>
      <c r="H19" s="43"/>
      <c r="I19" s="43"/>
      <c r="J19" s="43"/>
      <c r="K19" s="43"/>
      <c r="L19" s="43"/>
      <c r="M19" s="44"/>
      <c r="N19" s="43"/>
      <c r="O19" s="43"/>
      <c r="P19" s="43"/>
    </row>
    <row r="20" spans="1:16" ht="30.75" customHeight="1" x14ac:dyDescent="0.8">
      <c r="A20" s="43" t="s">
        <v>32</v>
      </c>
      <c r="B20" s="43" t="s">
        <v>32</v>
      </c>
      <c r="C20" s="43" t="s">
        <v>32</v>
      </c>
      <c r="D20" s="43" t="s">
        <v>32</v>
      </c>
      <c r="E20" s="43" t="s">
        <v>32</v>
      </c>
      <c r="F20" s="43" t="s">
        <v>32</v>
      </c>
      <c r="G20" s="43" t="s">
        <v>32</v>
      </c>
      <c r="H20" s="43"/>
      <c r="I20" s="43"/>
      <c r="J20" s="43"/>
      <c r="K20" s="43"/>
      <c r="L20" s="43"/>
      <c r="M20" s="43"/>
      <c r="N20" s="43"/>
      <c r="O20" s="43"/>
      <c r="P20" s="43"/>
    </row>
    <row r="21" spans="1:16" ht="30.75" customHeight="1" x14ac:dyDescent="0.8">
      <c r="A21" s="43" t="s">
        <v>32</v>
      </c>
      <c r="B21" s="43" t="s">
        <v>32</v>
      </c>
      <c r="C21" s="43" t="s">
        <v>32</v>
      </c>
      <c r="D21" s="43" t="s">
        <v>32</v>
      </c>
      <c r="E21" s="43" t="s">
        <v>32</v>
      </c>
      <c r="F21" s="43" t="s">
        <v>32</v>
      </c>
      <c r="G21" s="43" t="s">
        <v>32</v>
      </c>
      <c r="H21" s="43"/>
      <c r="I21" s="43"/>
      <c r="J21" s="43"/>
      <c r="K21" s="43"/>
      <c r="L21" s="43"/>
      <c r="M21" s="43"/>
      <c r="N21" s="43"/>
      <c r="O21" s="43"/>
      <c r="P21" s="43"/>
    </row>
    <row r="22" spans="1:16" ht="30.75" customHeight="1" x14ac:dyDescent="0.8">
      <c r="A22" s="43" t="s">
        <v>32</v>
      </c>
      <c r="B22" s="43" t="s">
        <v>32</v>
      </c>
      <c r="C22" s="43" t="s">
        <v>32</v>
      </c>
      <c r="D22" s="43" t="s">
        <v>32</v>
      </c>
      <c r="E22" s="43" t="s">
        <v>32</v>
      </c>
      <c r="F22" s="43" t="s">
        <v>32</v>
      </c>
      <c r="G22" s="43" t="s">
        <v>32</v>
      </c>
      <c r="H22" s="43"/>
      <c r="I22" s="43"/>
      <c r="J22" s="43"/>
      <c r="K22" s="43"/>
      <c r="L22" s="43"/>
      <c r="M22" s="43"/>
      <c r="N22" s="43"/>
      <c r="O22" s="43"/>
      <c r="P22" s="43"/>
    </row>
    <row r="23" spans="1:16" ht="30.75" customHeight="1" x14ac:dyDescent="0.8">
      <c r="A23" s="43" t="s">
        <v>32</v>
      </c>
      <c r="B23" s="43" t="s">
        <v>32</v>
      </c>
      <c r="C23" s="43" t="s">
        <v>32</v>
      </c>
      <c r="D23" s="43" t="s">
        <v>32</v>
      </c>
      <c r="E23" s="43" t="s">
        <v>32</v>
      </c>
      <c r="F23" s="43" t="s">
        <v>32</v>
      </c>
      <c r="G23" s="43" t="s">
        <v>32</v>
      </c>
      <c r="H23" s="43"/>
      <c r="I23" s="43"/>
      <c r="J23" s="43"/>
      <c r="K23" s="43"/>
      <c r="L23" s="43"/>
      <c r="M23" s="43"/>
      <c r="N23" s="43"/>
      <c r="O23" s="43"/>
      <c r="P23" s="43"/>
    </row>
    <row r="24" spans="1:16" ht="30.75" customHeight="1" x14ac:dyDescent="0.8">
      <c r="A24" s="43" t="s">
        <v>32</v>
      </c>
      <c r="B24" s="43" t="s">
        <v>32</v>
      </c>
      <c r="C24" s="43" t="s">
        <v>32</v>
      </c>
      <c r="D24" s="43" t="s">
        <v>32</v>
      </c>
      <c r="E24" s="43" t="s">
        <v>32</v>
      </c>
      <c r="F24" s="43" t="s">
        <v>32</v>
      </c>
      <c r="G24" s="43" t="s">
        <v>32</v>
      </c>
      <c r="H24" s="43"/>
      <c r="I24" s="43"/>
      <c r="J24" s="43"/>
      <c r="K24" s="43"/>
      <c r="L24" s="43"/>
      <c r="M24" s="43"/>
      <c r="N24" s="43"/>
      <c r="O24" s="43"/>
      <c r="P24" s="43"/>
    </row>
    <row r="25" spans="1:16" ht="30.75" customHeight="1" x14ac:dyDescent="0.8">
      <c r="A25" s="43" t="s">
        <v>32</v>
      </c>
      <c r="B25" s="43" t="s">
        <v>32</v>
      </c>
      <c r="C25" s="43" t="s">
        <v>32</v>
      </c>
      <c r="D25" s="43" t="s">
        <v>32</v>
      </c>
      <c r="E25" s="43" t="s">
        <v>32</v>
      </c>
      <c r="F25" s="43" t="s">
        <v>32</v>
      </c>
      <c r="G25" s="43" t="s">
        <v>32</v>
      </c>
      <c r="H25" s="43"/>
      <c r="I25" s="43"/>
      <c r="J25" s="43"/>
      <c r="K25" s="43"/>
      <c r="L25" s="43"/>
      <c r="M25" s="43"/>
      <c r="N25" s="43"/>
      <c r="O25" s="43"/>
      <c r="P25" s="43"/>
    </row>
    <row r="26" spans="1:16" ht="30.75" customHeight="1" x14ac:dyDescent="0.8">
      <c r="A26" s="43" t="s">
        <v>32</v>
      </c>
      <c r="B26" s="43" t="s">
        <v>32</v>
      </c>
      <c r="C26" s="43" t="s">
        <v>32</v>
      </c>
      <c r="D26" s="43" t="s">
        <v>32</v>
      </c>
      <c r="E26" s="43" t="s">
        <v>32</v>
      </c>
      <c r="F26" s="43" t="s">
        <v>32</v>
      </c>
      <c r="G26" s="43" t="s">
        <v>32</v>
      </c>
      <c r="H26" s="43"/>
      <c r="I26" s="43"/>
      <c r="J26" s="43"/>
      <c r="K26" s="43"/>
      <c r="L26" s="43"/>
      <c r="M26" s="43"/>
      <c r="N26" s="43"/>
      <c r="O26" s="43"/>
      <c r="P26" s="43"/>
    </row>
    <row r="27" spans="1:16" ht="30.75" customHeight="1" x14ac:dyDescent="0.8">
      <c r="A27" s="43" t="s">
        <v>32</v>
      </c>
      <c r="B27" s="43" t="s">
        <v>32</v>
      </c>
      <c r="C27" s="43" t="s">
        <v>32</v>
      </c>
      <c r="D27" s="43" t="s">
        <v>32</v>
      </c>
      <c r="E27" s="43" t="s">
        <v>32</v>
      </c>
      <c r="F27" s="43" t="s">
        <v>32</v>
      </c>
      <c r="G27" s="43" t="s">
        <v>32</v>
      </c>
      <c r="H27" s="43"/>
      <c r="I27" s="43"/>
      <c r="J27" s="43"/>
      <c r="K27" s="43"/>
      <c r="L27" s="43"/>
      <c r="M27" s="43"/>
      <c r="N27" s="43"/>
      <c r="O27" s="43"/>
      <c r="P27" s="43"/>
    </row>
    <row r="28" spans="1:16" x14ac:dyDescent="0.8">
      <c r="A28" s="43" t="s">
        <v>32</v>
      </c>
      <c r="B28" s="43" t="s">
        <v>32</v>
      </c>
      <c r="C28" s="43" t="s">
        <v>32</v>
      </c>
      <c r="D28" s="43" t="s">
        <v>32</v>
      </c>
      <c r="E28" s="43" t="s">
        <v>32</v>
      </c>
      <c r="F28" s="43" t="s">
        <v>32</v>
      </c>
      <c r="G28" s="43" t="s">
        <v>32</v>
      </c>
    </row>
    <row r="29" spans="1:16" x14ac:dyDescent="0.8">
      <c r="A29" s="43" t="s">
        <v>32</v>
      </c>
      <c r="B29" s="43" t="s">
        <v>32</v>
      </c>
      <c r="C29" s="43" t="s">
        <v>32</v>
      </c>
      <c r="D29" s="43" t="s">
        <v>32</v>
      </c>
      <c r="E29" s="43" t="s">
        <v>32</v>
      </c>
      <c r="F29" s="43" t="s">
        <v>32</v>
      </c>
      <c r="G29" s="43" t="s">
        <v>32</v>
      </c>
    </row>
    <row r="30" spans="1:16" x14ac:dyDescent="0.8">
      <c r="A30" s="43" t="s">
        <v>32</v>
      </c>
      <c r="B30" s="43" t="s">
        <v>32</v>
      </c>
      <c r="C30" s="43" t="s">
        <v>32</v>
      </c>
      <c r="D30" s="43" t="s">
        <v>32</v>
      </c>
      <c r="E30" s="43" t="s">
        <v>32</v>
      </c>
      <c r="F30" s="43" t="s">
        <v>32</v>
      </c>
      <c r="G30" s="43" t="s">
        <v>32</v>
      </c>
    </row>
    <row r="31" spans="1:16" x14ac:dyDescent="0.8">
      <c r="A31" s="43" t="s">
        <v>32</v>
      </c>
      <c r="B31" s="43" t="s">
        <v>32</v>
      </c>
      <c r="C31" s="43" t="s">
        <v>32</v>
      </c>
      <c r="D31" s="43" t="s">
        <v>32</v>
      </c>
      <c r="E31" s="43" t="s">
        <v>32</v>
      </c>
      <c r="F31" s="43" t="s">
        <v>32</v>
      </c>
      <c r="G31" s="43" t="s">
        <v>32</v>
      </c>
    </row>
    <row r="32" spans="1:16" x14ac:dyDescent="0.8">
      <c r="A32" s="43" t="s">
        <v>32</v>
      </c>
      <c r="B32" s="43" t="s">
        <v>32</v>
      </c>
      <c r="C32" s="43" t="s">
        <v>32</v>
      </c>
      <c r="D32" s="43" t="s">
        <v>32</v>
      </c>
      <c r="E32" s="43" t="s">
        <v>32</v>
      </c>
      <c r="F32" s="43" t="s">
        <v>32</v>
      </c>
      <c r="G32" s="43" t="s">
        <v>32</v>
      </c>
    </row>
    <row r="33" spans="1:7" x14ac:dyDescent="0.8">
      <c r="A33" s="43" t="s">
        <v>32</v>
      </c>
      <c r="B33" s="43" t="s">
        <v>32</v>
      </c>
      <c r="C33" s="43" t="s">
        <v>32</v>
      </c>
      <c r="D33" s="43" t="s">
        <v>32</v>
      </c>
      <c r="E33" s="43" t="s">
        <v>32</v>
      </c>
      <c r="F33" s="43" t="s">
        <v>32</v>
      </c>
      <c r="G33" s="43" t="s">
        <v>32</v>
      </c>
    </row>
    <row r="34" spans="1:7" x14ac:dyDescent="0.8">
      <c r="A34" s="43" t="s">
        <v>32</v>
      </c>
      <c r="B34" s="43" t="s">
        <v>32</v>
      </c>
      <c r="C34" s="43" t="s">
        <v>32</v>
      </c>
      <c r="D34" s="43" t="s">
        <v>32</v>
      </c>
      <c r="E34" s="43" t="s">
        <v>32</v>
      </c>
      <c r="F34" s="43" t="s">
        <v>32</v>
      </c>
      <c r="G34" s="43" t="s">
        <v>32</v>
      </c>
    </row>
    <row r="35" spans="1:7" x14ac:dyDescent="0.8">
      <c r="A35" s="43" t="s">
        <v>32</v>
      </c>
      <c r="B35" s="43" t="s">
        <v>32</v>
      </c>
      <c r="C35" s="43" t="s">
        <v>32</v>
      </c>
      <c r="D35" s="43" t="s">
        <v>32</v>
      </c>
      <c r="E35" s="43" t="s">
        <v>32</v>
      </c>
      <c r="F35" s="43" t="s">
        <v>32</v>
      </c>
      <c r="G35" s="43" t="s">
        <v>32</v>
      </c>
    </row>
    <row r="36" spans="1:7" x14ac:dyDescent="0.8">
      <c r="A36" s="43" t="s">
        <v>32</v>
      </c>
      <c r="B36" s="43" t="s">
        <v>32</v>
      </c>
      <c r="C36" s="43" t="s">
        <v>32</v>
      </c>
      <c r="D36" s="43" t="s">
        <v>32</v>
      </c>
      <c r="E36" s="43" t="s">
        <v>32</v>
      </c>
      <c r="F36" s="43" t="s">
        <v>32</v>
      </c>
      <c r="G36" s="43" t="s">
        <v>32</v>
      </c>
    </row>
    <row r="37" spans="1:7" x14ac:dyDescent="0.8">
      <c r="A37" s="43" t="s">
        <v>32</v>
      </c>
      <c r="B37" s="43" t="s">
        <v>32</v>
      </c>
      <c r="C37" s="43" t="s">
        <v>32</v>
      </c>
      <c r="D37" s="43" t="s">
        <v>32</v>
      </c>
      <c r="E37" s="43" t="s">
        <v>32</v>
      </c>
      <c r="F37" s="43" t="s">
        <v>32</v>
      </c>
      <c r="G37" s="43" t="s">
        <v>32</v>
      </c>
    </row>
    <row r="38" spans="1:7" x14ac:dyDescent="0.8">
      <c r="A38" s="43" t="s">
        <v>32</v>
      </c>
      <c r="B38" s="43" t="s">
        <v>32</v>
      </c>
      <c r="C38" s="43" t="s">
        <v>32</v>
      </c>
      <c r="D38" s="43" t="s">
        <v>32</v>
      </c>
      <c r="E38" s="43" t="s">
        <v>32</v>
      </c>
      <c r="F38" s="43" t="s">
        <v>32</v>
      </c>
      <c r="G38" s="43" t="s">
        <v>32</v>
      </c>
    </row>
    <row r="39" spans="1:7" x14ac:dyDescent="0.8">
      <c r="A39" s="43" t="s">
        <v>32</v>
      </c>
      <c r="B39" s="43" t="s">
        <v>32</v>
      </c>
      <c r="C39" s="43" t="s">
        <v>32</v>
      </c>
      <c r="D39" s="43" t="s">
        <v>32</v>
      </c>
      <c r="E39" s="43" t="s">
        <v>32</v>
      </c>
      <c r="F39" s="43" t="s">
        <v>32</v>
      </c>
      <c r="G39" s="43" t="s">
        <v>32</v>
      </c>
    </row>
    <row r="40" spans="1:7" x14ac:dyDescent="0.8">
      <c r="A40" s="43" t="s">
        <v>32</v>
      </c>
      <c r="B40" s="43" t="s">
        <v>32</v>
      </c>
      <c r="C40" s="43" t="s">
        <v>32</v>
      </c>
      <c r="D40" s="43" t="s">
        <v>32</v>
      </c>
      <c r="E40" s="43" t="s">
        <v>32</v>
      </c>
      <c r="F40" s="43" t="s">
        <v>32</v>
      </c>
      <c r="G40" s="43" t="s">
        <v>32</v>
      </c>
    </row>
    <row r="41" spans="1:7" x14ac:dyDescent="0.8">
      <c r="A41" s="43" t="s">
        <v>32</v>
      </c>
      <c r="B41" s="43" t="s">
        <v>32</v>
      </c>
      <c r="C41" s="43" t="s">
        <v>32</v>
      </c>
      <c r="D41" s="43" t="s">
        <v>32</v>
      </c>
      <c r="E41" s="43" t="s">
        <v>32</v>
      </c>
      <c r="F41" s="43" t="s">
        <v>32</v>
      </c>
      <c r="G41" s="43" t="s">
        <v>32</v>
      </c>
    </row>
  </sheetData>
  <pageMargins left="0" right="0" top="0.25" bottom="0.2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zoomScaleNormal="100" workbookViewId="0">
      <selection activeCell="J13" sqref="J13"/>
    </sheetView>
  </sheetViews>
  <sheetFormatPr defaultRowHeight="28.5" x14ac:dyDescent="0.8"/>
  <cols>
    <col min="1" max="1" width="9.140625" style="1"/>
    <col min="2" max="2" width="27.5703125" style="1" customWidth="1"/>
    <col min="3" max="3" width="21.5703125" style="1" customWidth="1"/>
    <col min="4" max="4" width="14.85546875" style="1" customWidth="1"/>
    <col min="5" max="5" width="25.5703125" style="1" customWidth="1"/>
    <col min="6" max="8" width="9.140625" style="1"/>
    <col min="9" max="9" width="10.28515625" style="1" customWidth="1"/>
    <col min="10" max="10" width="20.140625" style="1" customWidth="1"/>
    <col min="11" max="11" width="9.85546875" style="1" bestFit="1" customWidth="1"/>
    <col min="12" max="16384" width="9.140625" style="1"/>
  </cols>
  <sheetData>
    <row r="1" spans="1:12" ht="38.25" customHeight="1" x14ac:dyDescent="0.8">
      <c r="A1" s="115" t="s">
        <v>18</v>
      </c>
      <c r="B1" s="115"/>
      <c r="C1" s="115"/>
      <c r="D1" s="115"/>
      <c r="E1" s="115"/>
    </row>
    <row r="2" spans="1:12" ht="31.5" customHeight="1" x14ac:dyDescent="0.8">
      <c r="A2" s="116" t="s">
        <v>19</v>
      </c>
      <c r="B2" s="116"/>
      <c r="C2" s="116"/>
      <c r="D2" s="116"/>
      <c r="E2" s="116"/>
    </row>
    <row r="3" spans="1:12" ht="27.75" customHeight="1" x14ac:dyDescent="0.9">
      <c r="A3" s="6"/>
      <c r="B3" s="6" t="s">
        <v>5</v>
      </c>
      <c r="C3" s="6"/>
      <c r="D3" s="6"/>
      <c r="E3" s="7" t="s">
        <v>28</v>
      </c>
      <c r="K3" s="1" t="s">
        <v>112</v>
      </c>
      <c r="L3" s="1" t="s">
        <v>113</v>
      </c>
    </row>
    <row r="4" spans="1:12" ht="27.75" customHeight="1" x14ac:dyDescent="0.8">
      <c r="A4" s="5" t="s">
        <v>4</v>
      </c>
      <c r="B4" s="5" t="s">
        <v>3</v>
      </c>
      <c r="C4" s="5" t="s">
        <v>2</v>
      </c>
      <c r="D4" s="5" t="s">
        <v>1</v>
      </c>
      <c r="E4" s="5"/>
      <c r="J4" s="1" t="s">
        <v>111</v>
      </c>
      <c r="K4" s="24">
        <v>1</v>
      </c>
      <c r="L4" s="24">
        <v>1</v>
      </c>
    </row>
    <row r="5" spans="1:12" ht="27.75" customHeight="1" x14ac:dyDescent="0.8">
      <c r="A5" s="20">
        <v>1</v>
      </c>
      <c r="B5" s="2" t="s">
        <v>21</v>
      </c>
      <c r="C5" s="19">
        <v>15</v>
      </c>
      <c r="D5" s="19">
        <v>1300</v>
      </c>
      <c r="E5" s="20">
        <f>C5*D5</f>
        <v>19500</v>
      </c>
      <c r="J5" s="1" t="s">
        <v>114</v>
      </c>
      <c r="L5" s="24"/>
    </row>
    <row r="6" spans="1:12" ht="27.75" customHeight="1" x14ac:dyDescent="0.8">
      <c r="A6" s="20">
        <v>2</v>
      </c>
      <c r="B6" s="2" t="s">
        <v>22</v>
      </c>
      <c r="C6" s="19">
        <v>10</v>
      </c>
      <c r="D6" s="19">
        <v>1300</v>
      </c>
      <c r="E6" s="20">
        <f>C6*D6</f>
        <v>13000</v>
      </c>
      <c r="J6" s="1" t="s">
        <v>115</v>
      </c>
      <c r="K6" s="24">
        <v>4</v>
      </c>
    </row>
    <row r="7" spans="1:12" ht="27.75" customHeight="1" x14ac:dyDescent="0.8">
      <c r="A7" s="20">
        <v>3</v>
      </c>
      <c r="B7" s="2" t="s">
        <v>29</v>
      </c>
      <c r="C7" s="19">
        <v>15</v>
      </c>
      <c r="D7" s="19">
        <v>1300</v>
      </c>
      <c r="E7" s="20">
        <f>C7*D7</f>
        <v>19500</v>
      </c>
      <c r="J7" s="15"/>
    </row>
    <row r="8" spans="1:12" ht="27.75" customHeight="1" x14ac:dyDescent="0.8">
      <c r="A8" s="20">
        <v>4</v>
      </c>
      <c r="B8" s="2" t="s">
        <v>23</v>
      </c>
      <c r="C8" s="19">
        <v>15</v>
      </c>
      <c r="D8" s="19">
        <v>1300</v>
      </c>
      <c r="E8" s="20">
        <f t="shared" ref="E8" si="0">C8*D8</f>
        <v>19500</v>
      </c>
      <c r="J8" s="24"/>
    </row>
    <row r="9" spans="1:12" ht="27.75" customHeight="1" x14ac:dyDescent="0.9">
      <c r="A9" s="20"/>
      <c r="B9" s="2"/>
      <c r="C9" s="19"/>
      <c r="D9" s="19"/>
      <c r="E9" s="20"/>
      <c r="I9" s="6"/>
    </row>
    <row r="10" spans="1:12" ht="27.75" customHeight="1" x14ac:dyDescent="0.8">
      <c r="A10" s="20"/>
      <c r="B10" s="2"/>
      <c r="C10" s="19"/>
      <c r="D10" s="19"/>
      <c r="E10" s="20"/>
    </row>
    <row r="11" spans="1:12" ht="27.75" customHeight="1" x14ac:dyDescent="0.8">
      <c r="A11" s="2"/>
      <c r="B11" s="2"/>
      <c r="C11" s="19"/>
      <c r="D11" s="19"/>
      <c r="E11" s="20"/>
      <c r="J11" s="24"/>
    </row>
    <row r="12" spans="1:12" ht="27.75" customHeight="1" x14ac:dyDescent="0.8">
      <c r="A12" s="4"/>
      <c r="B12" s="22" t="s">
        <v>8</v>
      </c>
      <c r="C12" s="42">
        <f>SUM(C5:C11)</f>
        <v>55</v>
      </c>
      <c r="D12" s="22">
        <v>1300</v>
      </c>
      <c r="E12" s="23">
        <f>SUM(E5:E11)</f>
        <v>71500</v>
      </c>
    </row>
    <row r="13" spans="1:12" ht="27.75" customHeight="1" x14ac:dyDescent="0.8">
      <c r="A13" s="12"/>
      <c r="B13" s="12"/>
      <c r="C13" s="12"/>
      <c r="D13" s="13"/>
      <c r="E13" s="14"/>
    </row>
    <row r="14" spans="1:12" ht="27.75" customHeight="1" x14ac:dyDescent="0.8">
      <c r="A14" s="9"/>
      <c r="B14" s="9"/>
      <c r="C14" s="9"/>
      <c r="D14" s="10"/>
      <c r="E14" s="11"/>
    </row>
    <row r="15" spans="1:12" ht="38.25" customHeight="1" x14ac:dyDescent="0.8">
      <c r="A15" s="115" t="s">
        <v>7</v>
      </c>
      <c r="B15" s="115"/>
      <c r="C15" s="115"/>
      <c r="D15" s="115"/>
      <c r="E15" s="115"/>
    </row>
    <row r="16" spans="1:12" ht="41.25" customHeight="1" x14ac:dyDescent="0.8">
      <c r="A16" s="116" t="s">
        <v>26</v>
      </c>
      <c r="B16" s="116"/>
      <c r="C16" s="116"/>
      <c r="D16" s="116"/>
      <c r="E16" s="116"/>
    </row>
    <row r="17" spans="1:5" ht="27.75" customHeight="1" x14ac:dyDescent="0.9">
      <c r="A17" s="6"/>
      <c r="B17" s="6" t="s">
        <v>5</v>
      </c>
      <c r="C17" s="6"/>
      <c r="D17" s="6"/>
      <c r="E17" s="7" t="s">
        <v>30</v>
      </c>
    </row>
    <row r="18" spans="1:5" ht="27.75" customHeight="1" x14ac:dyDescent="0.8">
      <c r="A18" s="5" t="s">
        <v>4</v>
      </c>
      <c r="B18" s="5" t="s">
        <v>3</v>
      </c>
      <c r="C18" s="5" t="s">
        <v>2</v>
      </c>
      <c r="D18" s="5" t="s">
        <v>1</v>
      </c>
      <c r="E18" s="5" t="s">
        <v>0</v>
      </c>
    </row>
    <row r="19" spans="1:5" ht="27.75" customHeight="1" x14ac:dyDescent="0.8">
      <c r="A19" s="2">
        <v>1</v>
      </c>
      <c r="B19" s="2"/>
      <c r="C19" s="19"/>
      <c r="D19" s="19"/>
      <c r="E19" s="20"/>
    </row>
    <row r="20" spans="1:5" ht="30" customHeight="1" x14ac:dyDescent="0.8">
      <c r="A20" s="2"/>
      <c r="B20" s="2"/>
      <c r="C20" s="19"/>
      <c r="D20" s="19"/>
      <c r="E20" s="20"/>
    </row>
    <row r="21" spans="1:5" ht="27.75" customHeight="1" x14ac:dyDescent="0.8">
      <c r="A21" s="2"/>
      <c r="C21" s="2"/>
      <c r="D21" s="2"/>
      <c r="E21" s="20"/>
    </row>
    <row r="22" spans="1:5" ht="27.75" customHeight="1" x14ac:dyDescent="0.8">
      <c r="A22" s="2"/>
      <c r="B22" s="2"/>
      <c r="C22" s="2"/>
      <c r="D22" s="2"/>
      <c r="E22" s="20"/>
    </row>
    <row r="23" spans="1:5" ht="27.75" customHeight="1" x14ac:dyDescent="0.8">
      <c r="A23" s="2"/>
      <c r="B23" s="2"/>
      <c r="C23" s="2"/>
      <c r="D23" s="2"/>
      <c r="E23" s="20"/>
    </row>
    <row r="24" spans="1:5" ht="27.75" customHeight="1" x14ac:dyDescent="0.8">
      <c r="A24" s="2"/>
      <c r="B24" s="2"/>
      <c r="C24" s="2"/>
      <c r="D24" s="2"/>
      <c r="E24" s="20"/>
    </row>
    <row r="25" spans="1:5" ht="27.75" customHeight="1" x14ac:dyDescent="0.8">
      <c r="A25" s="2"/>
      <c r="B25" s="2"/>
      <c r="C25" s="2"/>
      <c r="D25" s="2"/>
      <c r="E25" s="20"/>
    </row>
    <row r="26" spans="1:5" ht="27.75" customHeight="1" x14ac:dyDescent="0.8">
      <c r="A26" s="4"/>
      <c r="B26" s="3"/>
      <c r="C26" s="3"/>
      <c r="D26" s="8" t="s">
        <v>8</v>
      </c>
      <c r="E26" s="23">
        <f>E19</f>
        <v>0</v>
      </c>
    </row>
    <row r="27" spans="1:5" ht="27.75" customHeight="1" x14ac:dyDescent="0.8"/>
    <row r="28" spans="1:5" ht="27.75" customHeight="1" x14ac:dyDescent="0.8"/>
  </sheetData>
  <mergeCells count="4">
    <mergeCell ref="A1:E1"/>
    <mergeCell ref="A2:E2"/>
    <mergeCell ref="A15:E15"/>
    <mergeCell ref="A16:E16"/>
  </mergeCells>
  <pageMargins left="0" right="0" top="0.75" bottom="0.2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zoomScaleNormal="100" workbookViewId="0">
      <selection activeCell="P12" sqref="P12"/>
    </sheetView>
  </sheetViews>
  <sheetFormatPr defaultRowHeight="28.5" x14ac:dyDescent="0.8"/>
  <cols>
    <col min="1" max="9" width="11.140625" style="1" customWidth="1"/>
    <col min="10" max="10" width="10.85546875" style="1" customWidth="1"/>
    <col min="11" max="11" width="12.140625" style="1" customWidth="1"/>
    <col min="12" max="12" width="10.85546875" style="1" customWidth="1"/>
    <col min="13" max="15" width="9.140625" style="1"/>
    <col min="16" max="16" width="10.28515625" style="1" customWidth="1"/>
    <col min="17" max="17" width="20.140625" style="1" customWidth="1"/>
    <col min="18" max="18" width="9.85546875" style="1" bestFit="1" customWidth="1"/>
    <col min="19" max="16384" width="9.140625" style="1"/>
  </cols>
  <sheetData>
    <row r="1" spans="1:9" ht="30.75" customHeight="1" x14ac:dyDescent="0.8">
      <c r="A1" s="69">
        <v>2000</v>
      </c>
      <c r="B1" s="69">
        <v>2000</v>
      </c>
      <c r="C1" s="69">
        <v>2000</v>
      </c>
      <c r="D1" s="69">
        <v>2000</v>
      </c>
      <c r="E1" s="69">
        <v>2000</v>
      </c>
      <c r="F1" s="69">
        <v>2000</v>
      </c>
      <c r="G1" s="69">
        <v>2000</v>
      </c>
      <c r="H1" s="69">
        <v>2000</v>
      </c>
      <c r="I1" s="69">
        <v>2000</v>
      </c>
    </row>
    <row r="2" spans="1:9" ht="30.75" customHeight="1" x14ac:dyDescent="0.8">
      <c r="A2" s="69">
        <v>2000</v>
      </c>
      <c r="B2" s="69">
        <v>2000</v>
      </c>
      <c r="C2" s="69">
        <v>2000</v>
      </c>
      <c r="D2" s="69">
        <v>2000</v>
      </c>
      <c r="E2" s="69">
        <v>2000</v>
      </c>
      <c r="F2" s="69">
        <v>2000</v>
      </c>
      <c r="G2" s="69">
        <v>2000</v>
      </c>
      <c r="H2" s="69">
        <v>2000</v>
      </c>
      <c r="I2" s="69">
        <v>2000</v>
      </c>
    </row>
    <row r="3" spans="1:9" ht="30.75" customHeight="1" x14ac:dyDescent="0.8">
      <c r="A3" s="69">
        <v>2000</v>
      </c>
      <c r="B3" s="69">
        <v>2000</v>
      </c>
      <c r="C3" s="69">
        <v>2000</v>
      </c>
      <c r="D3" s="69">
        <v>2000</v>
      </c>
      <c r="E3" s="69">
        <v>2000</v>
      </c>
      <c r="F3" s="69">
        <v>2000</v>
      </c>
      <c r="G3" s="69">
        <v>2000</v>
      </c>
      <c r="H3" s="69">
        <v>2000</v>
      </c>
      <c r="I3" s="69">
        <v>2000</v>
      </c>
    </row>
    <row r="4" spans="1:9" ht="30.75" customHeight="1" x14ac:dyDescent="0.8">
      <c r="A4" s="69">
        <v>2000</v>
      </c>
      <c r="B4" s="69">
        <v>2000</v>
      </c>
      <c r="C4" s="69">
        <v>2000</v>
      </c>
      <c r="D4" s="69">
        <v>2000</v>
      </c>
      <c r="E4" s="69">
        <v>2000</v>
      </c>
      <c r="F4" s="69">
        <v>2000</v>
      </c>
      <c r="G4" s="69">
        <v>2000</v>
      </c>
      <c r="H4" s="69">
        <v>2000</v>
      </c>
      <c r="I4" s="69">
        <v>2000</v>
      </c>
    </row>
    <row r="5" spans="1:9" ht="30.75" customHeight="1" x14ac:dyDescent="0.8">
      <c r="A5" s="69">
        <v>2000</v>
      </c>
      <c r="B5" s="69">
        <v>2000</v>
      </c>
      <c r="C5" s="69">
        <v>2000</v>
      </c>
      <c r="D5" s="69">
        <v>2000</v>
      </c>
      <c r="E5" s="69">
        <v>2000</v>
      </c>
      <c r="F5" s="69">
        <v>2000</v>
      </c>
      <c r="G5" s="69">
        <v>2000</v>
      </c>
      <c r="H5" s="69">
        <v>2000</v>
      </c>
      <c r="I5" s="69">
        <v>2000</v>
      </c>
    </row>
    <row r="6" spans="1:9" ht="30.75" customHeight="1" x14ac:dyDescent="0.8">
      <c r="A6" s="69">
        <v>2000</v>
      </c>
      <c r="B6" s="69">
        <v>2000</v>
      </c>
      <c r="C6" s="69">
        <v>2000</v>
      </c>
      <c r="D6" s="69">
        <v>2000</v>
      </c>
      <c r="E6" s="69">
        <v>2000</v>
      </c>
      <c r="F6" s="69">
        <v>2000</v>
      </c>
      <c r="G6" s="69">
        <v>2000</v>
      </c>
      <c r="H6" s="69">
        <v>2000</v>
      </c>
      <c r="I6" s="69">
        <v>2000</v>
      </c>
    </row>
    <row r="7" spans="1:9" ht="30.75" customHeight="1" x14ac:dyDescent="0.8">
      <c r="A7" s="69">
        <v>2000</v>
      </c>
      <c r="B7" s="69">
        <v>2000</v>
      </c>
      <c r="C7" s="69">
        <v>2000</v>
      </c>
      <c r="D7" s="69">
        <v>2000</v>
      </c>
      <c r="E7" s="69">
        <v>2000</v>
      </c>
      <c r="F7" s="69">
        <v>2000</v>
      </c>
      <c r="G7" s="69">
        <v>2000</v>
      </c>
      <c r="H7" s="69">
        <v>2000</v>
      </c>
      <c r="I7" s="69">
        <v>2000</v>
      </c>
    </row>
    <row r="8" spans="1:9" ht="30.75" customHeight="1" x14ac:dyDescent="0.8">
      <c r="A8" s="69">
        <v>2000</v>
      </c>
      <c r="B8" s="69">
        <v>2000</v>
      </c>
      <c r="C8" s="69">
        <v>2000</v>
      </c>
      <c r="D8" s="69">
        <v>2000</v>
      </c>
      <c r="E8" s="69">
        <v>2000</v>
      </c>
      <c r="F8" s="69">
        <v>2000</v>
      </c>
      <c r="G8" s="69">
        <v>2000</v>
      </c>
      <c r="H8" s="69">
        <v>2000</v>
      </c>
      <c r="I8" s="69">
        <v>2000</v>
      </c>
    </row>
    <row r="9" spans="1:9" ht="30.75" customHeight="1" x14ac:dyDescent="0.8">
      <c r="A9" s="69">
        <v>2000</v>
      </c>
      <c r="B9" s="69">
        <v>2000</v>
      </c>
      <c r="C9" s="69">
        <v>2000</v>
      </c>
      <c r="D9" s="69">
        <v>2000</v>
      </c>
      <c r="E9" s="69">
        <v>2000</v>
      </c>
      <c r="F9" s="69">
        <v>2000</v>
      </c>
      <c r="G9" s="69">
        <v>2000</v>
      </c>
      <c r="H9" s="69">
        <v>2000</v>
      </c>
      <c r="I9" s="69">
        <v>2000</v>
      </c>
    </row>
    <row r="10" spans="1:9" ht="30.75" customHeight="1" x14ac:dyDescent="0.8">
      <c r="A10" s="69">
        <v>2000</v>
      </c>
      <c r="B10" s="69">
        <v>2000</v>
      </c>
      <c r="C10" s="69">
        <v>2000</v>
      </c>
      <c r="D10" s="69">
        <v>2000</v>
      </c>
      <c r="E10" s="69">
        <v>2000</v>
      </c>
      <c r="F10" s="69">
        <v>2000</v>
      </c>
      <c r="G10" s="69">
        <v>2000</v>
      </c>
      <c r="H10" s="69">
        <v>2000</v>
      </c>
      <c r="I10" s="69">
        <v>2000</v>
      </c>
    </row>
    <row r="11" spans="1:9" ht="30.75" customHeight="1" x14ac:dyDescent="0.8">
      <c r="A11" s="69">
        <v>2000</v>
      </c>
      <c r="B11" s="69">
        <v>2000</v>
      </c>
      <c r="C11" s="69">
        <v>2000</v>
      </c>
      <c r="D11" s="69">
        <v>2000</v>
      </c>
      <c r="E11" s="69">
        <v>2000</v>
      </c>
      <c r="F11" s="69">
        <v>2000</v>
      </c>
      <c r="G11" s="69">
        <v>2000</v>
      </c>
      <c r="H11" s="69">
        <v>2000</v>
      </c>
      <c r="I11" s="69">
        <v>2000</v>
      </c>
    </row>
    <row r="12" spans="1:9" ht="30.75" customHeight="1" x14ac:dyDescent="0.8">
      <c r="A12" s="69">
        <v>2000</v>
      </c>
      <c r="B12" s="69">
        <v>2000</v>
      </c>
      <c r="C12" s="69">
        <v>2000</v>
      </c>
      <c r="D12" s="69">
        <v>2000</v>
      </c>
      <c r="E12" s="69">
        <v>2000</v>
      </c>
      <c r="F12" s="69">
        <v>2000</v>
      </c>
      <c r="G12" s="69">
        <v>2000</v>
      </c>
      <c r="H12" s="69">
        <v>2000</v>
      </c>
      <c r="I12" s="69">
        <v>2000</v>
      </c>
    </row>
    <row r="13" spans="1:9" ht="30.75" customHeight="1" x14ac:dyDescent="0.8">
      <c r="A13" s="69">
        <v>2000</v>
      </c>
      <c r="B13" s="69">
        <v>2000</v>
      </c>
      <c r="C13" s="69">
        <v>2000</v>
      </c>
      <c r="D13" s="69">
        <v>2000</v>
      </c>
      <c r="E13" s="69">
        <v>2000</v>
      </c>
      <c r="F13" s="69">
        <v>2000</v>
      </c>
      <c r="G13" s="69">
        <v>2000</v>
      </c>
      <c r="H13" s="69">
        <v>2000</v>
      </c>
      <c r="I13" s="69">
        <v>2000</v>
      </c>
    </row>
    <row r="14" spans="1:9" ht="30.75" customHeight="1" x14ac:dyDescent="0.8">
      <c r="A14" s="69">
        <v>2000</v>
      </c>
      <c r="B14" s="69">
        <v>2000</v>
      </c>
      <c r="C14" s="69">
        <v>2000</v>
      </c>
      <c r="D14" s="69">
        <v>2000</v>
      </c>
      <c r="E14" s="69">
        <v>2000</v>
      </c>
      <c r="F14" s="69">
        <v>2000</v>
      </c>
      <c r="G14" s="69">
        <v>2000</v>
      </c>
      <c r="H14" s="69">
        <v>2000</v>
      </c>
      <c r="I14" s="69">
        <v>2000</v>
      </c>
    </row>
    <row r="15" spans="1:9" ht="30.75" customHeight="1" x14ac:dyDescent="0.8">
      <c r="A15" s="69">
        <v>2000</v>
      </c>
      <c r="B15" s="69">
        <v>2000</v>
      </c>
      <c r="C15" s="69">
        <v>2000</v>
      </c>
      <c r="D15" s="69">
        <v>2000</v>
      </c>
      <c r="E15" s="69">
        <v>2000</v>
      </c>
      <c r="F15" s="69">
        <v>2000</v>
      </c>
      <c r="G15" s="69">
        <v>2000</v>
      </c>
      <c r="H15" s="69">
        <v>2000</v>
      </c>
      <c r="I15" s="69">
        <v>2000</v>
      </c>
    </row>
    <row r="16" spans="1:9" ht="30.75" customHeight="1" x14ac:dyDescent="0.8">
      <c r="A16" s="69">
        <v>2000</v>
      </c>
      <c r="B16" s="69">
        <v>2000</v>
      </c>
      <c r="C16" s="69">
        <v>2000</v>
      </c>
      <c r="D16" s="69">
        <v>2000</v>
      </c>
      <c r="E16" s="69">
        <v>2000</v>
      </c>
      <c r="F16" s="69">
        <v>2000</v>
      </c>
      <c r="G16" s="69">
        <v>2000</v>
      </c>
      <c r="H16" s="69">
        <v>2000</v>
      </c>
      <c r="I16" s="69">
        <v>2000</v>
      </c>
    </row>
    <row r="17" spans="1:9" ht="30.75" customHeight="1" x14ac:dyDescent="0.8">
      <c r="A17" s="69">
        <v>2000</v>
      </c>
      <c r="B17" s="69">
        <v>2000</v>
      </c>
      <c r="C17" s="69">
        <v>2000</v>
      </c>
      <c r="D17" s="69">
        <v>2000</v>
      </c>
      <c r="E17" s="69">
        <v>2000</v>
      </c>
      <c r="F17" s="69">
        <v>2000</v>
      </c>
      <c r="G17" s="69">
        <v>2000</v>
      </c>
      <c r="H17" s="69">
        <v>2000</v>
      </c>
      <c r="I17" s="69">
        <v>2000</v>
      </c>
    </row>
    <row r="18" spans="1:9" ht="30.75" customHeight="1" x14ac:dyDescent="0.8">
      <c r="A18" s="69">
        <v>2000</v>
      </c>
      <c r="B18" s="69">
        <v>2000</v>
      </c>
      <c r="C18" s="69">
        <v>2000</v>
      </c>
      <c r="D18" s="69">
        <v>2000</v>
      </c>
      <c r="E18" s="69">
        <v>2000</v>
      </c>
      <c r="F18" s="69">
        <v>2000</v>
      </c>
      <c r="G18" s="69">
        <v>2000</v>
      </c>
      <c r="H18" s="69">
        <v>2000</v>
      </c>
      <c r="I18" s="69">
        <v>2000</v>
      </c>
    </row>
    <row r="19" spans="1:9" ht="30.75" customHeight="1" x14ac:dyDescent="0.8">
      <c r="A19" s="69">
        <v>2000</v>
      </c>
      <c r="B19" s="69">
        <v>2000</v>
      </c>
      <c r="C19" s="69">
        <v>2000</v>
      </c>
      <c r="D19" s="69">
        <v>2000</v>
      </c>
      <c r="E19" s="69">
        <v>2000</v>
      </c>
      <c r="F19" s="69">
        <v>2000</v>
      </c>
      <c r="G19" s="69">
        <v>2000</v>
      </c>
      <c r="H19" s="69">
        <v>2000</v>
      </c>
      <c r="I19" s="69">
        <v>2000</v>
      </c>
    </row>
    <row r="20" spans="1:9" ht="30.75" customHeight="1" x14ac:dyDescent="0.8">
      <c r="A20" s="69">
        <v>2000</v>
      </c>
      <c r="B20" s="69">
        <v>2000</v>
      </c>
      <c r="C20" s="69">
        <v>2000</v>
      </c>
      <c r="D20" s="69">
        <v>2000</v>
      </c>
      <c r="E20" s="69">
        <v>2000</v>
      </c>
      <c r="F20" s="69">
        <v>2000</v>
      </c>
      <c r="G20" s="69">
        <v>2000</v>
      </c>
      <c r="H20" s="69">
        <v>2000</v>
      </c>
      <c r="I20" s="69">
        <v>2000</v>
      </c>
    </row>
    <row r="21" spans="1:9" ht="30.75" customHeight="1" x14ac:dyDescent="0.8">
      <c r="A21" s="69">
        <v>2000</v>
      </c>
      <c r="B21" s="69">
        <v>2000</v>
      </c>
      <c r="C21" s="69">
        <v>2000</v>
      </c>
      <c r="D21" s="69">
        <v>2000</v>
      </c>
      <c r="E21" s="69">
        <v>2000</v>
      </c>
      <c r="F21" s="69">
        <v>2000</v>
      </c>
      <c r="G21" s="69">
        <v>2000</v>
      </c>
      <c r="H21" s="69">
        <v>2000</v>
      </c>
      <c r="I21" s="69">
        <v>2000</v>
      </c>
    </row>
    <row r="22" spans="1:9" ht="30.75" customHeight="1" x14ac:dyDescent="0.8">
      <c r="A22" s="69">
        <v>2000</v>
      </c>
      <c r="B22" s="69">
        <v>2000</v>
      </c>
      <c r="C22" s="69">
        <v>2000</v>
      </c>
      <c r="D22" s="69">
        <v>2000</v>
      </c>
      <c r="E22" s="69">
        <v>2000</v>
      </c>
      <c r="F22" s="69">
        <v>2000</v>
      </c>
      <c r="G22" s="69">
        <v>2000</v>
      </c>
      <c r="H22" s="69">
        <v>2000</v>
      </c>
      <c r="I22" s="69">
        <v>2000</v>
      </c>
    </row>
    <row r="23" spans="1:9" ht="30.75" customHeight="1" x14ac:dyDescent="0.8">
      <c r="A23" s="69">
        <v>2000</v>
      </c>
      <c r="B23" s="69">
        <v>2000</v>
      </c>
      <c r="C23" s="69">
        <v>2000</v>
      </c>
      <c r="D23" s="69">
        <v>2000</v>
      </c>
      <c r="E23" s="69">
        <v>2000</v>
      </c>
      <c r="F23" s="69">
        <v>2000</v>
      </c>
      <c r="G23" s="69">
        <v>2000</v>
      </c>
      <c r="H23" s="69">
        <v>2000</v>
      </c>
      <c r="I23" s="69">
        <v>2000</v>
      </c>
    </row>
    <row r="24" spans="1:9" ht="30.75" customHeight="1" x14ac:dyDescent="0.8">
      <c r="A24" s="69">
        <v>2000</v>
      </c>
      <c r="B24" s="69">
        <v>2000</v>
      </c>
      <c r="C24" s="69">
        <v>2000</v>
      </c>
      <c r="D24" s="69">
        <v>2000</v>
      </c>
      <c r="E24" s="69">
        <v>2000</v>
      </c>
      <c r="F24" s="69">
        <v>2000</v>
      </c>
      <c r="G24" s="69">
        <v>2000</v>
      </c>
      <c r="H24" s="69">
        <v>2000</v>
      </c>
      <c r="I24" s="69">
        <v>2000</v>
      </c>
    </row>
    <row r="25" spans="1:9" ht="30.75" customHeight="1" x14ac:dyDescent="0.8">
      <c r="A25" s="69">
        <v>2000</v>
      </c>
      <c r="B25" s="69">
        <v>2000</v>
      </c>
      <c r="C25" s="69">
        <v>2000</v>
      </c>
      <c r="D25" s="69">
        <v>2000</v>
      </c>
      <c r="E25" s="69">
        <v>2000</v>
      </c>
      <c r="F25" s="69">
        <v>2000</v>
      </c>
      <c r="G25" s="69">
        <v>2000</v>
      </c>
      <c r="H25" s="69">
        <v>2000</v>
      </c>
      <c r="I25" s="69">
        <v>2000</v>
      </c>
    </row>
    <row r="26" spans="1:9" ht="30.75" customHeight="1" x14ac:dyDescent="0.8">
      <c r="A26" s="69">
        <v>2000</v>
      </c>
      <c r="B26" s="69">
        <v>2000</v>
      </c>
      <c r="C26" s="69">
        <v>2000</v>
      </c>
      <c r="D26" s="69">
        <v>2000</v>
      </c>
      <c r="E26" s="69">
        <v>2000</v>
      </c>
      <c r="F26" s="69">
        <v>2000</v>
      </c>
      <c r="G26" s="69">
        <v>2000</v>
      </c>
      <c r="H26" s="69">
        <v>2000</v>
      </c>
      <c r="I26" s="69">
        <v>2000</v>
      </c>
    </row>
    <row r="27" spans="1:9" ht="30.75" customHeight="1" x14ac:dyDescent="0.8">
      <c r="A27" s="69">
        <v>2000</v>
      </c>
      <c r="B27" s="69">
        <v>2000</v>
      </c>
      <c r="C27" s="69">
        <v>2000</v>
      </c>
      <c r="D27" s="69">
        <v>2000</v>
      </c>
      <c r="E27" s="69">
        <v>2000</v>
      </c>
      <c r="F27" s="69">
        <v>2000</v>
      </c>
      <c r="G27" s="69">
        <v>2000</v>
      </c>
      <c r="H27" s="69">
        <v>2000</v>
      </c>
      <c r="I27" s="69">
        <v>2000</v>
      </c>
    </row>
  </sheetData>
  <pageMargins left="0" right="0" top="0.25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Credit (3)</vt:lpstr>
      <vt:lpstr>Credit </vt:lpstr>
      <vt:lpstr>Statment</vt:lpstr>
      <vt:lpstr>Profit</vt:lpstr>
      <vt:lpstr>Statment (2)</vt:lpstr>
      <vt:lpstr>Statment (3)</vt:lpstr>
      <vt:lpstr>Other Expen </vt:lpstr>
      <vt:lpstr>Yogut Profit</vt:lpstr>
      <vt:lpstr>daily expen</vt:lpstr>
      <vt:lpstr>Yogurt</vt:lpstr>
      <vt:lpstr>Date</vt:lpstr>
      <vt:lpstr>Canddle</vt:lpstr>
      <vt:lpstr>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</dc:creator>
  <cp:lastModifiedBy>UNAS</cp:lastModifiedBy>
  <cp:lastPrinted>2026-09-08T05:06:21Z</cp:lastPrinted>
  <dcterms:created xsi:type="dcterms:W3CDTF">2024-06-12T03:29:26Z</dcterms:created>
  <dcterms:modified xsi:type="dcterms:W3CDTF">2026-09-14T09:28:41Z</dcterms:modified>
</cp:coreProperties>
</file>